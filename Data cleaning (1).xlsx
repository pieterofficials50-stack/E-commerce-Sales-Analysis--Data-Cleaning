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4" sheetId="2" r:id="rId6"/>
    <sheet state="visible" name="Sheet3" sheetId="3" r:id="rId7"/>
    <sheet state="visible" name="Chart1 Most Used Payment Method" sheetId="4" r:id="rId8"/>
    <sheet state="visible" name="Chart1 Top 10 Products by Reven" sheetId="5" r:id="rId9"/>
    <sheet state="visible" name="Chart1 Daily Sales Trend (Reven" sheetId="6" r:id="rId10"/>
  </sheets>
  <definedNames>
    <definedName hidden="1" localSheetId="5" name="_xlnm._FilterDatabase">'Chart1 Daily Sales Trend (Reven'!$A$3:$B$52</definedName>
  </definedNames>
  <calcPr/>
</workbook>
</file>

<file path=xl/sharedStrings.xml><?xml version="1.0" encoding="utf-8"?>
<sst xmlns="http://schemas.openxmlformats.org/spreadsheetml/2006/main" count="1232" uniqueCount="257">
  <si>
    <t>ID</t>
  </si>
  <si>
    <t>Customer_Name</t>
  </si>
  <si>
    <t>Order_ID</t>
  </si>
  <si>
    <t>Order_Date</t>
  </si>
  <si>
    <t>Product</t>
  </si>
  <si>
    <t>Category</t>
  </si>
  <si>
    <t>Quantity</t>
  </si>
  <si>
    <t>Price</t>
  </si>
  <si>
    <t>Payment_Method</t>
  </si>
  <si>
    <t>Status</t>
  </si>
  <si>
    <t>Total</t>
  </si>
  <si>
    <t>Customer_110</t>
  </si>
  <si>
    <t>ORD-61020</t>
  </si>
  <si>
    <t>Basketball</t>
  </si>
  <si>
    <t>Sports</t>
  </si>
  <si>
    <t>Cash on Delivery</t>
  </si>
  <si>
    <t>Cancelled</t>
  </si>
  <si>
    <t>Customer_101</t>
  </si>
  <si>
    <t>ORD-35783</t>
  </si>
  <si>
    <t>Smartphone</t>
  </si>
  <si>
    <t>Electronics</t>
  </si>
  <si>
    <t>PayPal</t>
  </si>
  <si>
    <t>Processing</t>
  </si>
  <si>
    <t>Customer_196</t>
  </si>
  <si>
    <t>ORD-78384</t>
  </si>
  <si>
    <t>Vacuum</t>
  </si>
  <si>
    <t>Home</t>
  </si>
  <si>
    <t>Delivered</t>
  </si>
  <si>
    <t>Customer_117</t>
  </si>
  <si>
    <t>ORD-72751</t>
  </si>
  <si>
    <t>Blender</t>
  </si>
  <si>
    <t>Electronic</t>
  </si>
  <si>
    <t>Customer_106</t>
  </si>
  <si>
    <t>ORD-25885</t>
  </si>
  <si>
    <t>Bank Transfer</t>
  </si>
  <si>
    <t>Customer_194</t>
  </si>
  <si>
    <t>ORD-69764</t>
  </si>
  <si>
    <t>Lamp</t>
  </si>
  <si>
    <t>Returned</t>
  </si>
  <si>
    <t>Customer_172</t>
  </si>
  <si>
    <t>ORD-48008</t>
  </si>
  <si>
    <t>Comics</t>
  </si>
  <si>
    <t>Books</t>
  </si>
  <si>
    <t>Customer_158</t>
  </si>
  <si>
    <t>ORD-35817</t>
  </si>
  <si>
    <t>Smartwatch</t>
  </si>
  <si>
    <t>Shipped</t>
  </si>
  <si>
    <t>Customer_190</t>
  </si>
  <si>
    <t>ORD-38469</t>
  </si>
  <si>
    <t>Customer_128</t>
  </si>
  <si>
    <t>ORD-12270</t>
  </si>
  <si>
    <t>Customer_149</t>
  </si>
  <si>
    <t>ORD-95911</t>
  </si>
  <si>
    <t>Customer_187</t>
  </si>
  <si>
    <t>ORD-41292</t>
  </si>
  <si>
    <t>Customer_191</t>
  </si>
  <si>
    <t>ORD-41810</t>
  </si>
  <si>
    <t>Fiction</t>
  </si>
  <si>
    <t>Customer_179</t>
  </si>
  <si>
    <t>ORD-99328</t>
  </si>
  <si>
    <t>Yoga Mat</t>
  </si>
  <si>
    <t>Customer_111</t>
  </si>
  <si>
    <t>ORD-72349</t>
  </si>
  <si>
    <t>Credit Card</t>
  </si>
  <si>
    <t>Customer_145</t>
  </si>
  <si>
    <t>ORD-75314</t>
  </si>
  <si>
    <t>Laptop</t>
  </si>
  <si>
    <t>Customer_144</t>
  </si>
  <si>
    <t>ORD-89452</t>
  </si>
  <si>
    <t>Football</t>
  </si>
  <si>
    <t>Customer_126</t>
  </si>
  <si>
    <t>ORD-11261</t>
  </si>
  <si>
    <t>Shoes</t>
  </si>
  <si>
    <t>Clothing</t>
  </si>
  <si>
    <t>Customer_143</t>
  </si>
  <si>
    <t>ORD-14329</t>
  </si>
  <si>
    <t>T-Shirt</t>
  </si>
  <si>
    <t>Customer_195</t>
  </si>
  <si>
    <t>ORD-82876</t>
  </si>
  <si>
    <t>Biography</t>
  </si>
  <si>
    <t>Customer_189</t>
  </si>
  <si>
    <t>ORD-30627</t>
  </si>
  <si>
    <t>Customer_115</t>
  </si>
  <si>
    <t>ORD-72778</t>
  </si>
  <si>
    <t>Customer_154</t>
  </si>
  <si>
    <t>ORD-95990</t>
  </si>
  <si>
    <t>Customer_125</t>
  </si>
  <si>
    <t>ORD-23202</t>
  </si>
  <si>
    <t>Customer_112</t>
  </si>
  <si>
    <t>ORD-80867</t>
  </si>
  <si>
    <t>Customer_170</t>
  </si>
  <si>
    <t>ORD-21530</t>
  </si>
  <si>
    <t>Jeans</t>
  </si>
  <si>
    <t>Customer_129</t>
  </si>
  <si>
    <t>ORD-48863</t>
  </si>
  <si>
    <t>Science</t>
  </si>
  <si>
    <t>Customer_185</t>
  </si>
  <si>
    <t>ORD-57123</t>
  </si>
  <si>
    <t>Customer_146</t>
  </si>
  <si>
    <t>ORD-32755</t>
  </si>
  <si>
    <t>N/A</t>
  </si>
  <si>
    <t>Customer_136</t>
  </si>
  <si>
    <t>ORD-20985</t>
  </si>
  <si>
    <t>Headphones</t>
  </si>
  <si>
    <t>Customer_171</t>
  </si>
  <si>
    <t>ORD-99790</t>
  </si>
  <si>
    <t>Customer_139</t>
  </si>
  <si>
    <t>ORD-38418</t>
  </si>
  <si>
    <t>Customer_148</t>
  </si>
  <si>
    <t>ORD-38423</t>
  </si>
  <si>
    <t>Tennis Racket</t>
  </si>
  <si>
    <t>Customer_142</t>
  </si>
  <si>
    <t>ORD-69018</t>
  </si>
  <si>
    <t>Customer_131</t>
  </si>
  <si>
    <t>ORD-91396</t>
  </si>
  <si>
    <t>Customer_123</t>
  </si>
  <si>
    <t>ORD-11314</t>
  </si>
  <si>
    <t>Customer_108</t>
  </si>
  <si>
    <t>ORD-64400</t>
  </si>
  <si>
    <t>Customer_147</t>
  </si>
  <si>
    <t>ORD-80707</t>
  </si>
  <si>
    <t>Jacket</t>
  </si>
  <si>
    <t>Customer_167</t>
  </si>
  <si>
    <t>ORD-30329</t>
  </si>
  <si>
    <t>Customer_134</t>
  </si>
  <si>
    <t>ORD-16585</t>
  </si>
  <si>
    <t>Customer_140</t>
  </si>
  <si>
    <t>ORD-67096</t>
  </si>
  <si>
    <t>Customer_107</t>
  </si>
  <si>
    <t>ORD-89122</t>
  </si>
  <si>
    <t>Customer_164</t>
  </si>
  <si>
    <t>ORD-23010</t>
  </si>
  <si>
    <t>Customer_169</t>
  </si>
  <si>
    <t>ORD-75539</t>
  </si>
  <si>
    <t>Customer_166</t>
  </si>
  <si>
    <t>ORD-97756</t>
  </si>
  <si>
    <t>Customer_122</t>
  </si>
  <si>
    <t>ORD-21443</t>
  </si>
  <si>
    <t>Microwave</t>
  </si>
  <si>
    <t>Customer_104</t>
  </si>
  <si>
    <t>ORD-93614</t>
  </si>
  <si>
    <t>Customer_141</t>
  </si>
  <si>
    <t>ORD-45059</t>
  </si>
  <si>
    <t>Customer_182</t>
  </si>
  <si>
    <t>ORD-79672</t>
  </si>
  <si>
    <t>Customer_138</t>
  </si>
  <si>
    <t>ORD-34319</t>
  </si>
  <si>
    <t>Customer_176</t>
  </si>
  <si>
    <t>ORD-95794</t>
  </si>
  <si>
    <t>Customer_121</t>
  </si>
  <si>
    <t>ORD-80067</t>
  </si>
  <si>
    <t>Customer_193</t>
  </si>
  <si>
    <t>ORD-42475</t>
  </si>
  <si>
    <t>Customer_188</t>
  </si>
  <si>
    <t>ORD-58590</t>
  </si>
  <si>
    <t>Customer_198</t>
  </si>
  <si>
    <t>ORD-14608</t>
  </si>
  <si>
    <t>Customer_178</t>
  </si>
  <si>
    <t>ORD-89906</t>
  </si>
  <si>
    <t>Customer_151</t>
  </si>
  <si>
    <t>ORD-56552</t>
  </si>
  <si>
    <t>Customer_135</t>
  </si>
  <si>
    <t>ORD-33656</t>
  </si>
  <si>
    <t>Customer_165</t>
  </si>
  <si>
    <t>ORD-55695</t>
  </si>
  <si>
    <t>Customer_119</t>
  </si>
  <si>
    <t>ORD-76016</t>
  </si>
  <si>
    <t>Customer_180</t>
  </si>
  <si>
    <t>ORD-86629</t>
  </si>
  <si>
    <t>Customer_114</t>
  </si>
  <si>
    <t>ORD-77417</t>
  </si>
  <si>
    <t>Customer_113</t>
  </si>
  <si>
    <t>ORD-23994</t>
  </si>
  <si>
    <t>Customer_102</t>
  </si>
  <si>
    <t>ORD-84355</t>
  </si>
  <si>
    <t>Customer_199</t>
  </si>
  <si>
    <t>ORD-82922</t>
  </si>
  <si>
    <t>Customer_186</t>
  </si>
  <si>
    <t>ORD-90569</t>
  </si>
  <si>
    <t>Customer_173</t>
  </si>
  <si>
    <t>ORD-42171</t>
  </si>
  <si>
    <t>Customer_133</t>
  </si>
  <si>
    <t>ORD-68182</t>
  </si>
  <si>
    <t>Nan</t>
  </si>
  <si>
    <t>Customer_127</t>
  </si>
  <si>
    <t>ORD-65482</t>
  </si>
  <si>
    <t>Customer_120</t>
  </si>
  <si>
    <t>ORD-14659</t>
  </si>
  <si>
    <t>Customer_153</t>
  </si>
  <si>
    <t>ORD-29721</t>
  </si>
  <si>
    <t>Customer_157</t>
  </si>
  <si>
    <t>ORD-34407</t>
  </si>
  <si>
    <t>Customer_132</t>
  </si>
  <si>
    <t>ORD-40186</t>
  </si>
  <si>
    <t>Customer_181</t>
  </si>
  <si>
    <t>ORD-54481</t>
  </si>
  <si>
    <t>Customer_118</t>
  </si>
  <si>
    <t>ORD-96061</t>
  </si>
  <si>
    <t>Customer_160</t>
  </si>
  <si>
    <t>ORD-96037</t>
  </si>
  <si>
    <t>Customer_163</t>
  </si>
  <si>
    <t>ORD-24378</t>
  </si>
  <si>
    <t>Customer_103</t>
  </si>
  <si>
    <t>ORD-57811</t>
  </si>
  <si>
    <t>Customer_152</t>
  </si>
  <si>
    <t>ORD-72869</t>
  </si>
  <si>
    <t>Customer_161</t>
  </si>
  <si>
    <t>ORD-27653</t>
  </si>
  <si>
    <t>Customer_150</t>
  </si>
  <si>
    <t>ORD-76902</t>
  </si>
  <si>
    <t>Customer_174</t>
  </si>
  <si>
    <t>ORD-16766</t>
  </si>
  <si>
    <t>Customer_109</t>
  </si>
  <si>
    <t>ORD-18512</t>
  </si>
  <si>
    <t>Customer_159</t>
  </si>
  <si>
    <t>ORD-98162</t>
  </si>
  <si>
    <t>Customer_197</t>
  </si>
  <si>
    <t>ORD-79139</t>
  </si>
  <si>
    <t>Customer_162</t>
  </si>
  <si>
    <t>ORD-27743</t>
  </si>
  <si>
    <t>Customer_168</t>
  </si>
  <si>
    <t>ORD-53430</t>
  </si>
  <si>
    <t>Customer_105</t>
  </si>
  <si>
    <t>ORD-22442</t>
  </si>
  <si>
    <t>Customer_175</t>
  </si>
  <si>
    <t>ORD-56651</t>
  </si>
  <si>
    <t>Customer_184</t>
  </si>
  <si>
    <t>ORD-67799</t>
  </si>
  <si>
    <t>Customer_177</t>
  </si>
  <si>
    <t>ORD-64136</t>
  </si>
  <si>
    <t>Customer_155</t>
  </si>
  <si>
    <t>ORD-20182</t>
  </si>
  <si>
    <t>Customer_100</t>
  </si>
  <si>
    <t>ORD-41285</t>
  </si>
  <si>
    <t>Customer_137</t>
  </si>
  <si>
    <t>ORD-91254</t>
  </si>
  <si>
    <t>Sabse zyada sale:</t>
  </si>
  <si>
    <t>It was observed circa October 2025.</t>
  </si>
  <si>
    <t>The sales trend chart shows significant fluctuations in sales."</t>
  </si>
  <si>
    <t>Revenue (Shipped/Delivered/Processing)</t>
  </si>
  <si>
    <t>Loss (Returned/Cancelled/Negative)</t>
  </si>
  <si>
    <t xml:space="preserve"> Top 5 products</t>
  </si>
  <si>
    <r>
      <rPr>
        <rFont val="Arial"/>
        <color theme="1"/>
      </rPr>
      <t xml:space="preserve">Shoes: </t>
    </r>
    <r>
      <rPr>
        <rFont val="Arial"/>
        <color rgb="FF6AA84F"/>
      </rPr>
      <t>₹27,197.86</t>
    </r>
  </si>
  <si>
    <r>
      <rPr>
        <rFont val="Arial"/>
        <color theme="1"/>
      </rPr>
      <t xml:space="preserve">Lamp: </t>
    </r>
    <r>
      <rPr>
        <rFont val="Arial"/>
        <color theme="7"/>
      </rPr>
      <t>₹16,139.46</t>
    </r>
  </si>
  <si>
    <r>
      <rPr>
        <rFont val="Arial"/>
        <color theme="1"/>
      </rPr>
      <t xml:space="preserve">Basketball: </t>
    </r>
    <r>
      <rPr>
        <rFont val="Arial"/>
        <color theme="7"/>
      </rPr>
      <t>₹14,448.91</t>
    </r>
  </si>
  <si>
    <r>
      <rPr>
        <rFont val="Arial"/>
        <color theme="1"/>
      </rPr>
      <t xml:space="preserve">Comics: </t>
    </r>
    <r>
      <rPr>
        <rFont val="Arial"/>
        <color theme="7"/>
      </rPr>
      <t>₹12,710.77</t>
    </r>
  </si>
  <si>
    <r>
      <rPr>
        <rFont val="Arial"/>
        <color theme="1"/>
      </rPr>
      <t xml:space="preserve">Football: </t>
    </r>
    <r>
      <rPr>
        <rFont val="Arial"/>
        <color theme="7"/>
      </rPr>
      <t>₹8,490.70</t>
    </r>
  </si>
  <si>
    <t>6970</t>
  </si>
  <si>
    <t>27197.86</t>
  </si>
  <si>
    <t>16139.460000000001</t>
  </si>
  <si>
    <t>14448.91</t>
  </si>
  <si>
    <t>12710.768</t>
  </si>
  <si>
    <t>8490.7</t>
  </si>
  <si>
    <t>8247.18</t>
  </si>
  <si>
    <t>8225.82</t>
  </si>
  <si>
    <t>7976.620000000001</t>
  </si>
  <si>
    <t>7692.539999999999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</si>
</sst>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&quot;-&quot;yyyy"/>
    <numFmt numFmtId="165" formatCode="[$₹]#,##0"/>
    <numFmt numFmtId="166" formatCode="M/d/yyyy"/>
  </numFmts>
  <fonts count="7">
    <font>
      <sz val="10.0"/>
      <color rgb="FF000000"/>
      <name val="Arial"/>
      <scheme val="minor"/>
    </font>
    <font>
      <b/>
      <color rgb="FFF3F3F3"/>
      <name val="Arial"/>
    </font>
    <font>
      <color theme="1"/>
      <name val="Arial"/>
    </font>
    <font>
      <b/>
      <sz val="11.0"/>
      <color rgb="FF1F1F1F"/>
      <name val="&quot;Google Sans&quot;"/>
    </font>
    <font>
      <sz val="11.0"/>
      <color rgb="FF1F1F1F"/>
      <name val="Arial"/>
    </font>
    <font>
      <color theme="1"/>
      <name val="Arial"/>
      <scheme val="minor"/>
    </font>
    <font>
      <b/>
      <sz val="18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3" fontId="3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166" xfId="0" applyAlignment="1" applyFont="1" applyNumberForma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6">
    <tableStyle count="3" pivot="0" name="Sheet2-style">
      <tableStyleElement dxfId="1" type="headerRow"/>
      <tableStyleElement dxfId="2" type="firstRowStripe"/>
      <tableStyleElement dxfId="3" type="secondRowStripe"/>
    </tableStyle>
    <tableStyle count="3" pivot="0" name="Sheet4-style">
      <tableStyleElement dxfId="1" type="headerRow"/>
      <tableStyleElement dxfId="2" type="firstRowStripe"/>
      <tableStyleElement dxfId="3" type="secondRowStripe"/>
    </tableStyle>
    <tableStyle count="4" pivot="0" name="Sheet3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heet3-style 2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Chart1 Top 10 Products by Reven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Chart1 Daily Sales Trend (Reven-style">
      <tableStyleElement dxfId="4" type="headerRow"/>
      <tableStyleElement dxfId="2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Profit (Revenue) vs Loss Analysis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Sheet3!$B$12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Sheet3!$A$13:$A$14</c:f>
            </c:strRef>
          </c:cat>
          <c:val>
            <c:numRef>
              <c:f>Sheet3!$B$13:$B$14</c:f>
              <c:numCache/>
            </c:numRef>
          </c:val>
        </c:ser>
        <c:ser>
          <c:idx val="1"/>
          <c:order val="1"/>
          <c:tx>
            <c:strRef>
              <c:f>Sheet3!$C$12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Sheet3!$A$13:$A$14</c:f>
            </c:strRef>
          </c:cat>
          <c:val>
            <c:numRef>
              <c:f>Sheet3!$C$13:$C$14</c:f>
              <c:numCache/>
            </c:numRef>
          </c:val>
        </c:ser>
        <c:overlap val="100"/>
        <c:axId val="1795380320"/>
        <c:axId val="1007944732"/>
      </c:barChart>
      <c:catAx>
        <c:axId val="1795380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7944732"/>
      </c:catAx>
      <c:valAx>
        <c:axId val="1007944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Amount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538032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Daily Sales Trend (Revenue)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'Chart1 Daily Sales Trend (Reven'!$B$3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'Chart1 Daily Sales Trend (Reven'!$A$4:$A$52</c:f>
            </c:strRef>
          </c:cat>
          <c:val>
            <c:numRef>
              <c:f>'Chart1 Daily Sales Trend (Reven'!$B$4:$B$52</c:f>
              <c:numCache/>
            </c:numRef>
          </c:val>
          <c:smooth val="0"/>
        </c:ser>
        <c:axId val="1325616045"/>
        <c:axId val="1523378980"/>
      </c:lineChart>
      <c:catAx>
        <c:axId val="1325616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3378980"/>
      </c:catAx>
      <c:valAx>
        <c:axId val="1523378980"/>
        <c:scaling>
          <c:orientation val="minMax"/>
          <c:max val="12162.04541224489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Daily Sales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56160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34343"/>
                </a:solidFill>
                <a:latin typeface="+mn-lt"/>
              </a:defRPr>
            </a:pPr>
            <a:r>
              <a:rPr b="0">
                <a:solidFill>
                  <a:srgbClr val="434343"/>
                </a:solidFill>
                <a:latin typeface="+mn-lt"/>
              </a:rPr>
              <a:t>Top 10 Products by Revenue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'Chart1 Top 10 Products by Reven'!$B$3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Top 10 Products by Reven'!$A$4:$A$13</c:f>
            </c:strRef>
          </c:cat>
          <c:val>
            <c:numRef>
              <c:f>'Chart1 Top 10 Products by Reven'!$B$4:$B$13</c:f>
              <c:numCache/>
            </c:numRef>
          </c:val>
        </c:ser>
        <c:ser>
          <c:idx val="1"/>
          <c:order val="1"/>
          <c:tx>
            <c:strRef>
              <c:f>'Chart1 Top 10 Products by Reven'!$C$3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'Chart1 Top 10 Products by Reven'!$A$4:$A$13</c:f>
            </c:strRef>
          </c:cat>
          <c:val>
            <c:numRef>
              <c:f>'Chart1 Top 10 Products by Reven'!$C$4:$C$13</c:f>
              <c:numCache/>
            </c:numRef>
          </c:val>
        </c:ser>
        <c:ser>
          <c:idx val="2"/>
          <c:order val="2"/>
          <c:tx>
            <c:strRef>
              <c:f>'Chart1 Top 10 Products by Reven'!$D$3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'Chart1 Top 10 Products by Reven'!$A$4:$A$13</c:f>
            </c:strRef>
          </c:cat>
          <c:val>
            <c:numRef>
              <c:f>'Chart1 Top 10 Products by Reven'!$D$4:$D$13</c:f>
              <c:numCache/>
            </c:numRef>
          </c:val>
        </c:ser>
        <c:ser>
          <c:idx val="3"/>
          <c:order val="3"/>
          <c:tx>
            <c:strRef>
              <c:f>'Chart1 Top 10 Products by Reven'!$E$3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'Chart1 Top 10 Products by Reven'!$A$4:$A$13</c:f>
            </c:strRef>
          </c:cat>
          <c:val>
            <c:numRef>
              <c:f>'Chart1 Top 10 Products by Reven'!$E$4:$E$13</c:f>
              <c:numCache/>
            </c:numRef>
          </c:val>
        </c:ser>
        <c:ser>
          <c:idx val="4"/>
          <c:order val="4"/>
          <c:tx>
            <c:strRef>
              <c:f>'Chart1 Top 10 Products by Reven'!$F$3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'Chart1 Top 10 Products by Reven'!$A$4:$A$13</c:f>
            </c:strRef>
          </c:cat>
          <c:val>
            <c:numRef>
              <c:f>'Chart1 Top 10 Products by Reven'!$F$4:$F$13</c:f>
              <c:numCache/>
            </c:numRef>
          </c:val>
        </c:ser>
        <c:ser>
          <c:idx val="5"/>
          <c:order val="5"/>
          <c:tx>
            <c:strRef>
              <c:f>'Chart1 Top 10 Products by Reven'!$G$3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'Chart1 Top 10 Products by Reven'!$A$4:$A$13</c:f>
            </c:strRef>
          </c:cat>
          <c:val>
            <c:numRef>
              <c:f>'Chart1 Top 10 Products by Reven'!$G$4:$G$13</c:f>
              <c:numCache/>
            </c:numRef>
          </c:val>
        </c:ser>
        <c:ser>
          <c:idx val="6"/>
          <c:order val="6"/>
          <c:tx>
            <c:strRef>
              <c:f>'Chart1 Top 10 Products by Reven'!$H$3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'Chart1 Top 10 Products by Reven'!$A$4:$A$13</c:f>
            </c:strRef>
          </c:cat>
          <c:val>
            <c:numRef>
              <c:f>'Chart1 Top 10 Products by Reven'!$H$4:$H$13</c:f>
              <c:numCache/>
            </c:numRef>
          </c:val>
        </c:ser>
        <c:ser>
          <c:idx val="7"/>
          <c:order val="7"/>
          <c:tx>
            <c:strRef>
              <c:f>'Chart1 Top 10 Products by Reven'!$I$3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'Chart1 Top 10 Products by Reven'!$A$4:$A$13</c:f>
            </c:strRef>
          </c:cat>
          <c:val>
            <c:numRef>
              <c:f>'Chart1 Top 10 Products by Reven'!$I$4:$I$13</c:f>
              <c:numCache/>
            </c:numRef>
          </c:val>
        </c:ser>
        <c:ser>
          <c:idx val="8"/>
          <c:order val="8"/>
          <c:tx>
            <c:strRef>
              <c:f>'Chart1 Top 10 Products by Reven'!$J$3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'Chart1 Top 10 Products by Reven'!$A$4:$A$13</c:f>
            </c:strRef>
          </c:cat>
          <c:val>
            <c:numRef>
              <c:f>'Chart1 Top 10 Products by Reven'!$J$4:$J$13</c:f>
              <c:numCache/>
            </c:numRef>
          </c:val>
        </c:ser>
        <c:ser>
          <c:idx val="9"/>
          <c:order val="9"/>
          <c:tx>
            <c:strRef>
              <c:f>'Chart1 Top 10 Products by Reven'!$K$3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'Chart1 Top 10 Products by Reven'!$A$4:$A$13</c:f>
            </c:strRef>
          </c:cat>
          <c:val>
            <c:numRef>
              <c:f>'Chart1 Top 10 Products by Reven'!$K$4:$K$13</c:f>
              <c:numCache/>
            </c:numRef>
          </c:val>
        </c:ser>
        <c:overlap val="100"/>
        <c:axId val="1440103296"/>
        <c:axId val="1320631954"/>
      </c:barChart>
      <c:catAx>
        <c:axId val="14401032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0631954"/>
      </c:catAx>
      <c:valAx>
        <c:axId val="13206319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010329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Most Used Payment Methods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Sheet3!$I$24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Sheet3!$H$25:$H$28</c:f>
            </c:strRef>
          </c:cat>
          <c:val>
            <c:numRef>
              <c:f>Sheet3!$I$25:$I$28</c:f>
              <c:numCache/>
            </c:numRef>
          </c:val>
        </c:ser>
        <c:ser>
          <c:idx val="1"/>
          <c:order val="1"/>
          <c:tx>
            <c:strRef>
              <c:f>Sheet3!$J$24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Sheet3!$H$25:$H$28</c:f>
            </c:strRef>
          </c:cat>
          <c:val>
            <c:numRef>
              <c:f>Sheet3!$J$25:$J$28</c:f>
              <c:numCache/>
            </c:numRef>
          </c:val>
        </c:ser>
        <c:ser>
          <c:idx val="2"/>
          <c:order val="2"/>
          <c:tx>
            <c:strRef>
              <c:f>Sheet3!$K$24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Sheet3!$H$25:$H$28</c:f>
            </c:strRef>
          </c:cat>
          <c:val>
            <c:numRef>
              <c:f>Sheet3!$K$25:$K$28</c:f>
              <c:numCache/>
            </c:numRef>
          </c:val>
        </c:ser>
        <c:ser>
          <c:idx val="3"/>
          <c:order val="3"/>
          <c:tx>
            <c:strRef>
              <c:f>Sheet3!$L$24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Sheet3!$H$25:$H$28</c:f>
            </c:strRef>
          </c:cat>
          <c:val>
            <c:numRef>
              <c:f>Sheet3!$L$25:$L$28</c:f>
              <c:numCache/>
            </c:numRef>
          </c:val>
        </c:ser>
        <c:axId val="1817430701"/>
        <c:axId val="1432714876"/>
      </c:barChart>
      <c:catAx>
        <c:axId val="1817430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Payment 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2714876"/>
      </c:catAx>
      <c:valAx>
        <c:axId val="14327148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Transactions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743070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Most Used Payment Methods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Sheet3!$I$24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Sheet3!$H$25:$H$28</c:f>
            </c:strRef>
          </c:cat>
          <c:val>
            <c:numRef>
              <c:f>Sheet3!$I$25:$I$28</c:f>
              <c:numCache/>
            </c:numRef>
          </c:val>
        </c:ser>
        <c:ser>
          <c:idx val="1"/>
          <c:order val="1"/>
          <c:tx>
            <c:strRef>
              <c:f>Sheet3!$J$24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Sheet3!$H$25:$H$28</c:f>
            </c:strRef>
          </c:cat>
          <c:val>
            <c:numRef>
              <c:f>Sheet3!$J$25:$J$28</c:f>
              <c:numCache/>
            </c:numRef>
          </c:val>
        </c:ser>
        <c:ser>
          <c:idx val="2"/>
          <c:order val="2"/>
          <c:tx>
            <c:strRef>
              <c:f>Sheet3!$K$24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Sheet3!$H$25:$H$28</c:f>
            </c:strRef>
          </c:cat>
          <c:val>
            <c:numRef>
              <c:f>Sheet3!$K$25:$K$28</c:f>
              <c:numCache/>
            </c:numRef>
          </c:val>
        </c:ser>
        <c:ser>
          <c:idx val="3"/>
          <c:order val="3"/>
          <c:tx>
            <c:strRef>
              <c:f>Sheet3!$L$24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Sheet3!$H$25:$H$28</c:f>
            </c:strRef>
          </c:cat>
          <c:val>
            <c:numRef>
              <c:f>Sheet3!$L$25:$L$28</c:f>
              <c:numCache/>
            </c:numRef>
          </c:val>
        </c:ser>
        <c:overlap val="100"/>
        <c:axId val="1905045306"/>
        <c:axId val="1896670471"/>
      </c:barChart>
      <c:catAx>
        <c:axId val="19050453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Payment 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6670471"/>
      </c:catAx>
      <c:valAx>
        <c:axId val="18966704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Transactions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504530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Top 10 Products by Revenue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'Chart1 Top 10 Products by Reven'!$B$3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Top 10 Products by Reven'!$A$4:$A$13</c:f>
            </c:strRef>
          </c:cat>
          <c:val>
            <c:numRef>
              <c:f>'Chart1 Top 10 Products by Reven'!$B$4:$B$13</c:f>
              <c:numCache/>
            </c:numRef>
          </c:val>
        </c:ser>
        <c:ser>
          <c:idx val="1"/>
          <c:order val="1"/>
          <c:tx>
            <c:strRef>
              <c:f>'Chart1 Top 10 Products by Reven'!$C$3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'Chart1 Top 10 Products by Reven'!$A$4:$A$13</c:f>
            </c:strRef>
          </c:cat>
          <c:val>
            <c:numRef>
              <c:f>'Chart1 Top 10 Products by Reven'!$C$4:$C$13</c:f>
              <c:numCache/>
            </c:numRef>
          </c:val>
        </c:ser>
        <c:ser>
          <c:idx val="2"/>
          <c:order val="2"/>
          <c:tx>
            <c:strRef>
              <c:f>'Chart1 Top 10 Products by Reven'!$D$3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'Chart1 Top 10 Products by Reven'!$A$4:$A$13</c:f>
            </c:strRef>
          </c:cat>
          <c:val>
            <c:numRef>
              <c:f>'Chart1 Top 10 Products by Reven'!$D$4:$D$13</c:f>
              <c:numCache/>
            </c:numRef>
          </c:val>
        </c:ser>
        <c:ser>
          <c:idx val="3"/>
          <c:order val="3"/>
          <c:tx>
            <c:strRef>
              <c:f>'Chart1 Top 10 Products by Reven'!$E$3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'Chart1 Top 10 Products by Reven'!$A$4:$A$13</c:f>
            </c:strRef>
          </c:cat>
          <c:val>
            <c:numRef>
              <c:f>'Chart1 Top 10 Products by Reven'!$E$4:$E$13</c:f>
              <c:numCache/>
            </c:numRef>
          </c:val>
        </c:ser>
        <c:ser>
          <c:idx val="4"/>
          <c:order val="4"/>
          <c:tx>
            <c:strRef>
              <c:f>'Chart1 Top 10 Products by Reven'!$F$3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'Chart1 Top 10 Products by Reven'!$A$4:$A$13</c:f>
            </c:strRef>
          </c:cat>
          <c:val>
            <c:numRef>
              <c:f>'Chart1 Top 10 Products by Reven'!$F$4:$F$13</c:f>
              <c:numCache/>
            </c:numRef>
          </c:val>
        </c:ser>
        <c:ser>
          <c:idx val="5"/>
          <c:order val="5"/>
          <c:tx>
            <c:strRef>
              <c:f>'Chart1 Top 10 Products by Reven'!$G$3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'Chart1 Top 10 Products by Reven'!$A$4:$A$13</c:f>
            </c:strRef>
          </c:cat>
          <c:val>
            <c:numRef>
              <c:f>'Chart1 Top 10 Products by Reven'!$G$4:$G$13</c:f>
              <c:numCache/>
            </c:numRef>
          </c:val>
        </c:ser>
        <c:ser>
          <c:idx val="6"/>
          <c:order val="6"/>
          <c:tx>
            <c:strRef>
              <c:f>'Chart1 Top 10 Products by Reven'!$H$3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'Chart1 Top 10 Products by Reven'!$A$4:$A$13</c:f>
            </c:strRef>
          </c:cat>
          <c:val>
            <c:numRef>
              <c:f>'Chart1 Top 10 Products by Reven'!$H$4:$H$13</c:f>
              <c:numCache/>
            </c:numRef>
          </c:val>
        </c:ser>
        <c:ser>
          <c:idx val="7"/>
          <c:order val="7"/>
          <c:tx>
            <c:strRef>
              <c:f>'Chart1 Top 10 Products by Reven'!$I$3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'Chart1 Top 10 Products by Reven'!$A$4:$A$13</c:f>
            </c:strRef>
          </c:cat>
          <c:val>
            <c:numRef>
              <c:f>'Chart1 Top 10 Products by Reven'!$I$4:$I$13</c:f>
              <c:numCache/>
            </c:numRef>
          </c:val>
        </c:ser>
        <c:ser>
          <c:idx val="8"/>
          <c:order val="8"/>
          <c:tx>
            <c:strRef>
              <c:f>'Chart1 Top 10 Products by Reven'!$J$3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'Chart1 Top 10 Products by Reven'!$A$4:$A$13</c:f>
            </c:strRef>
          </c:cat>
          <c:val>
            <c:numRef>
              <c:f>'Chart1 Top 10 Products by Reven'!$J$4:$J$13</c:f>
              <c:numCache/>
            </c:numRef>
          </c:val>
        </c:ser>
        <c:ser>
          <c:idx val="9"/>
          <c:order val="9"/>
          <c:tx>
            <c:strRef>
              <c:f>'Chart1 Top 10 Products by Reven'!$K$3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'Chart1 Top 10 Products by Reven'!$A$4:$A$13</c:f>
            </c:strRef>
          </c:cat>
          <c:val>
            <c:numRef>
              <c:f>'Chart1 Top 10 Products by Reven'!$K$4:$K$13</c:f>
              <c:numCache/>
            </c:numRef>
          </c:val>
        </c:ser>
        <c:overlap val="100"/>
        <c:axId val="994928815"/>
        <c:axId val="1178159430"/>
      </c:barChart>
      <c:catAx>
        <c:axId val="9949288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8159430"/>
      </c:catAx>
      <c:valAx>
        <c:axId val="11781594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492881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Daily Sales Trend (Revenue)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'Chart1 Daily Sales Trend (Reven'!$B$3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'Chart1 Daily Sales Trend (Reven'!$A$4:$A$52</c:f>
            </c:strRef>
          </c:cat>
          <c:val>
            <c:numRef>
              <c:f>'Chart1 Daily Sales Trend (Reven'!$B$4:$B$52</c:f>
              <c:numCache/>
            </c:numRef>
          </c:val>
          <c:smooth val="0"/>
        </c:ser>
        <c:axId val="2060574067"/>
        <c:axId val="1227398862"/>
      </c:lineChart>
      <c:catAx>
        <c:axId val="2060574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7398862"/>
      </c:catAx>
      <c:valAx>
        <c:axId val="1227398862"/>
        <c:scaling>
          <c:orientation val="minMax"/>
          <c:max val="12162.04541224489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Daily Sales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05740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857500" cy="1981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933450</xdr:colOff>
      <xdr:row>0</xdr:row>
      <xdr:rowOff>0</xdr:rowOff>
    </xdr:from>
    <xdr:ext cx="4819650" cy="31623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9525</xdr:colOff>
      <xdr:row>5</xdr:row>
      <xdr:rowOff>171450</xdr:rowOff>
    </xdr:from>
    <xdr:ext cx="4819650" cy="2857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14</xdr:row>
      <xdr:rowOff>9525</xdr:rowOff>
    </xdr:from>
    <xdr:ext cx="6143625" cy="30765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142875</xdr:colOff>
      <xdr:row>16</xdr:row>
      <xdr:rowOff>57150</xdr:rowOff>
    </xdr:from>
    <xdr:ext cx="1485900" cy="1095375"/>
    <xdr:grpSp>
      <xdr:nvGrpSpPr>
        <xdr:cNvPr id="2" name="Shape 2" title="Drawing"/>
        <xdr:cNvGrpSpPr/>
      </xdr:nvGrpSpPr>
      <xdr:grpSpPr>
        <a:xfrm>
          <a:off x="4094250" y="1798140"/>
          <a:ext cx="2912825" cy="2077000"/>
          <a:chOff x="4094250" y="1798140"/>
          <a:chExt cx="2912825" cy="2077000"/>
        </a:xfrm>
      </xdr:grpSpPr>
      <xdr:sp>
        <xdr:nvSpPr>
          <xdr:cNvPr id="3" name="Shape 3"/>
          <xdr:cNvSpPr/>
        </xdr:nvSpPr>
        <xdr:spPr>
          <a:xfrm>
            <a:off x="4094250" y="1798140"/>
            <a:ext cx="2912825" cy="2077000"/>
          </a:xfrm>
          <a:custGeom>
            <a:rect b="b" l="l" r="r" t="t"/>
            <a:pathLst>
              <a:path extrusionOk="0" h="83080" w="116513">
                <a:moveTo>
                  <a:pt x="107640" y="29405"/>
                </a:moveTo>
                <a:cubicBezTo>
                  <a:pt x="108443" y="38308"/>
                  <a:pt x="123437" y="86505"/>
                  <a:pt x="112459" y="82823"/>
                </a:cubicBezTo>
                <a:cubicBezTo>
                  <a:pt x="101481" y="79141"/>
                  <a:pt x="60514" y="20703"/>
                  <a:pt x="41771" y="7315"/>
                </a:cubicBezTo>
                <a:cubicBezTo>
                  <a:pt x="23028" y="-6073"/>
                  <a:pt x="6962" y="3298"/>
                  <a:pt x="0" y="2495"/>
                </a:cubicBezTo>
              </a:path>
            </a:pathLst>
          </a:cu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4094250" y="1800275"/>
            <a:ext cx="80325" cy="60250"/>
          </a:xfrm>
          <a:custGeom>
            <a:rect b="b" l="l" r="r" t="t"/>
            <a:pathLst>
              <a:path extrusionOk="0" h="2410" w="3213">
                <a:moveTo>
                  <a:pt x="0" y="2410"/>
                </a:moveTo>
                <a:lnTo>
                  <a:pt x="3213" y="0"/>
                </a:lnTo>
              </a:path>
            </a:pathLst>
          </a:cu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4124375" y="1850475"/>
            <a:ext cx="60250" cy="90375"/>
          </a:xfrm>
          <a:custGeom>
            <a:rect b="b" l="l" r="r" t="t"/>
            <a:pathLst>
              <a:path extrusionOk="0" h="3615" w="2410">
                <a:moveTo>
                  <a:pt x="0" y="0"/>
                </a:moveTo>
                <a:lnTo>
                  <a:pt x="2410" y="3615"/>
                </a:lnTo>
                <a:close/>
              </a:path>
            </a:pathLst>
          </a:cu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6" name="Shape 6"/>
          <xdr:cNvSpPr/>
        </xdr:nvSpPr>
        <xdr:spPr>
          <a:xfrm>
            <a:off x="4124375" y="1840450"/>
            <a:ext cx="50200" cy="110450"/>
          </a:xfrm>
          <a:custGeom>
            <a:rect b="b" l="l" r="r" t="t"/>
            <a:pathLst>
              <a:path extrusionOk="0" h="4418" w="2008">
                <a:moveTo>
                  <a:pt x="2008" y="4418"/>
                </a:moveTo>
                <a:lnTo>
                  <a:pt x="0" y="0"/>
                </a:lnTo>
              </a:path>
            </a:pathLst>
          </a:cu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6</xdr:col>
      <xdr:colOff>361950</xdr:colOff>
      <xdr:row>18</xdr:row>
      <xdr:rowOff>66675</xdr:rowOff>
    </xdr:from>
    <xdr:ext cx="1028700" cy="723900"/>
    <xdr:grpSp>
      <xdr:nvGrpSpPr>
        <xdr:cNvPr id="2" name="Shape 2" title="Drawing"/>
        <xdr:cNvGrpSpPr/>
      </xdr:nvGrpSpPr>
      <xdr:grpSpPr>
        <a:xfrm>
          <a:off x="3039950" y="1288200"/>
          <a:ext cx="1014300" cy="702900"/>
          <a:chOff x="3039950" y="1288200"/>
          <a:chExt cx="1014300" cy="702900"/>
        </a:xfrm>
      </xdr:grpSpPr>
      <xdr:cxnSp>
        <xdr:nvCxnSpPr>
          <xdr:cNvPr id="7" name="Shape 7"/>
          <xdr:cNvCxnSpPr/>
        </xdr:nvCxnSpPr>
        <xdr:spPr>
          <a:xfrm>
            <a:off x="3039950" y="1288200"/>
            <a:ext cx="1014300" cy="702900"/>
          </a:xfrm>
          <a:prstGeom prst="curved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7</xdr:col>
      <xdr:colOff>933450</xdr:colOff>
      <xdr:row>2</xdr:row>
      <xdr:rowOff>114300</xdr:rowOff>
    </xdr:from>
    <xdr:ext cx="1876425" cy="723900"/>
    <xdr:sp>
      <xdr:nvSpPr>
        <xdr:cNvPr id="8" name="Shape 8"/>
        <xdr:cNvSpPr/>
      </xdr:nvSpPr>
      <xdr:spPr>
        <a:xfrm>
          <a:off x="2096100" y="798697"/>
          <a:ext cx="3017300" cy="1213300"/>
        </a:xfrm>
        <a:custGeom>
          <a:rect b="b" l="l" r="r" t="t"/>
          <a:pathLst>
            <a:path extrusionOk="0" h="48532" w="120692">
              <a:moveTo>
                <a:pt x="0" y="43678"/>
              </a:moveTo>
              <a:cubicBezTo>
                <a:pt x="17538" y="44080"/>
                <a:pt x="85349" y="52514"/>
                <a:pt x="105230" y="46088"/>
              </a:cubicBezTo>
              <a:cubicBezTo>
                <a:pt x="125111" y="39662"/>
                <a:pt x="116810" y="12752"/>
                <a:pt x="119287" y="5121"/>
              </a:cubicBezTo>
              <a:cubicBezTo>
                <a:pt x="121764" y="-2510"/>
                <a:pt x="119956" y="1104"/>
                <a:pt x="120090" y="301"/>
              </a:cubicBez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98" displayName="Table_1" name="Table_1" id="1">
  <tableColumns count="11">
    <tableColumn name="ID" id="1"/>
    <tableColumn name="Customer_Name" id="2"/>
    <tableColumn name="Order_ID" id="3"/>
    <tableColumn name="Order_Date" id="4"/>
    <tableColumn name="Product" id="5"/>
    <tableColumn name="Category" id="6"/>
    <tableColumn name="Quantity" id="7"/>
    <tableColumn name="Price" id="8"/>
    <tableColumn name="Payment_Method" id="9"/>
    <tableColumn name="Status" id="10"/>
    <tableColumn name="Total" id="11"/>
  </tableColumns>
  <tableStyleInfo name="Sheet2-style" showColumnStripes="0" showFirstColumn="1" showLastColumn="1" showRowStripes="1"/>
</table>
</file>

<file path=xl/tables/table2.xml><?xml version="1.0" encoding="utf-8"?>
<table xmlns="http://schemas.openxmlformats.org/spreadsheetml/2006/main" ref="A1:K98" displayName="Table_2" name="Table_2" id="2">
  <tableColumns count="11">
    <tableColumn name="ID" id="1"/>
    <tableColumn name="Customer_Name" id="2"/>
    <tableColumn name="Order_ID" id="3"/>
    <tableColumn name="Order_Date" id="4"/>
    <tableColumn name="Product" id="5"/>
    <tableColumn name="Category" id="6"/>
    <tableColumn name="Quantity" id="7"/>
    <tableColumn name="Price" id="8"/>
    <tableColumn name="Payment_Method" id="9"/>
    <tableColumn name="Status" id="10"/>
    <tableColumn name="Total" id="11"/>
  </tableColumns>
  <tableStyleInfo name="Sheet4-style" showColumnStripes="0" showFirstColumn="1" showLastColumn="1" showRowStripes="1"/>
</table>
</file>

<file path=xl/tables/table3.xml><?xml version="1.0" encoding="utf-8"?>
<table xmlns="http://schemas.openxmlformats.org/spreadsheetml/2006/main" ref="A12:C14" displayName="Profit_Revenue_vs_Loss_Analysis" name="Profit_Revenue_vs_Loss_Analysis" id="3">
  <tableColumns count="3">
    <tableColumn name="Category" id="1"/>
    <tableColumn name="Revenue (Shipped/Delivered/Processing)" id="2"/>
    <tableColumn name="Loss (Returned/Cancelled/Negative)" id="3"/>
  </tableColumns>
  <tableStyleInfo name="Sheet3-style" showColumnStripes="0" showFirstColumn="1" showLastColumn="1" showRowStripes="1"/>
</table>
</file>

<file path=xl/tables/table4.xml><?xml version="1.0" encoding="utf-8"?>
<table xmlns="http://schemas.openxmlformats.org/spreadsheetml/2006/main" ref="H24:L28" displayName="Most_Used_Payment_Methods" name="Most_Used_Payment_Methods" id="4">
  <tableColumns count="5">
    <tableColumn name="Payment_Method" id="1"/>
    <tableColumn name="Cash on Delivery" id="2"/>
    <tableColumn name="PayPal" id="3"/>
    <tableColumn name="Credit Card" id="4"/>
    <tableColumn name="Bank Transfer" id="5"/>
  </tableColumns>
  <tableStyleInfo name="Sheet3-style 2" showColumnStripes="0" showFirstColumn="1" showLastColumn="1" showRowStripes="1"/>
</table>
</file>

<file path=xl/tables/table5.xml><?xml version="1.0" encoding="utf-8"?>
<table xmlns="http://schemas.openxmlformats.org/spreadsheetml/2006/main" ref="A3:K13" displayName="Top_10_Products_by_Revenue" name="Top_10_Products_by_Revenue" id="5">
  <tableColumns count="11">
    <tableColumn name="Product" id="1"/>
    <tableColumn name="6970" id="2"/>
    <tableColumn name="27197.86" id="3"/>
    <tableColumn name="16139.460000000001" id="4"/>
    <tableColumn name="14448.91" id="5"/>
    <tableColumn name="12710.768" id="6"/>
    <tableColumn name="8490.7" id="7"/>
    <tableColumn name="8247.18" id="8"/>
    <tableColumn name="8225.82" id="9"/>
    <tableColumn name="7976.620000000001" id="10"/>
    <tableColumn name="7692.539999999999" id="11"/>
  </tableColumns>
  <tableStyleInfo name="Chart1 Top 10 Products by Reven-style" showColumnStripes="0" showFirstColumn="1" showLastColumn="1" showRowStripes="1"/>
</table>
</file>

<file path=xl/tables/table6.xml><?xml version="1.0" encoding="utf-8"?>
<table xmlns="http://schemas.openxmlformats.org/spreadsheetml/2006/main" ref="A3:B52" displayName="Daily_Sales_Trend_Revenue_" name="Daily_Sales_Trend_Revenue_" id="6">
  <autoFilter ref="$A$3:$B$52"/>
  <tableColumns count="2">
    <tableColumn name="Order_Date" id="1"/>
    <tableColumn name="Total" id="2"/>
  </tableColumns>
  <tableStyleInfo name="Chart1 Daily Sales Trend (Rev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4.25"/>
    <col customWidth="1" min="3" max="3" width="9.88"/>
    <col customWidth="1" min="4" max="4" width="10.88"/>
    <col customWidth="1" min="5" max="5" width="11.5"/>
    <col customWidth="1" min="6" max="6" width="9.13"/>
    <col customWidth="1" min="7" max="7" width="7.75"/>
    <col customWidth="1" min="8" max="8" width="7.0"/>
    <col customWidth="1" min="9" max="9" width="14.75"/>
    <col customWidth="1" min="10" max="10" width="9.25"/>
    <col customWidth="1" min="11" max="11" width="7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3" t="s">
        <v>10</v>
      </c>
    </row>
    <row r="2" ht="15.75" customHeight="1">
      <c r="A2" s="4">
        <v>110.0</v>
      </c>
      <c r="B2" s="4" t="s">
        <v>11</v>
      </c>
      <c r="C2" s="4" t="s">
        <v>12</v>
      </c>
      <c r="D2" s="5">
        <v>45926.0</v>
      </c>
      <c r="E2" s="4" t="s">
        <v>13</v>
      </c>
      <c r="F2" s="4" t="s">
        <v>14</v>
      </c>
      <c r="G2" s="4">
        <v>5.0</v>
      </c>
      <c r="H2" s="6">
        <v>400.0</v>
      </c>
      <c r="I2" s="4" t="s">
        <v>15</v>
      </c>
      <c r="J2" s="4" t="s">
        <v>16</v>
      </c>
      <c r="K2" s="6">
        <f t="shared" ref="K2:K4" si="1">H2*G2</f>
        <v>2000</v>
      </c>
    </row>
    <row r="3" ht="15.75" customHeight="1">
      <c r="A3" s="4">
        <v>101.0</v>
      </c>
      <c r="B3" s="4" t="s">
        <v>17</v>
      </c>
      <c r="C3" s="4" t="s">
        <v>18</v>
      </c>
      <c r="D3" s="5">
        <v>45843.0</v>
      </c>
      <c r="E3" s="4" t="s">
        <v>19</v>
      </c>
      <c r="F3" s="4" t="s">
        <v>20</v>
      </c>
      <c r="G3" s="4">
        <v>2.0</v>
      </c>
      <c r="H3" s="6">
        <v>615.0</v>
      </c>
      <c r="I3" s="4" t="s">
        <v>21</v>
      </c>
      <c r="J3" s="4" t="s">
        <v>22</v>
      </c>
      <c r="K3" s="6">
        <f t="shared" si="1"/>
        <v>1230</v>
      </c>
    </row>
    <row r="4" ht="15.75" customHeight="1">
      <c r="A4" s="4">
        <v>196.0</v>
      </c>
      <c r="B4" s="4" t="s">
        <v>23</v>
      </c>
      <c r="C4" s="4" t="s">
        <v>24</v>
      </c>
      <c r="D4" s="5">
        <v>45649.0</v>
      </c>
      <c r="E4" s="4" t="s">
        <v>25</v>
      </c>
      <c r="F4" s="4" t="s">
        <v>26</v>
      </c>
      <c r="G4" s="4">
        <v>1.0</v>
      </c>
      <c r="H4" s="6">
        <v>615.0</v>
      </c>
      <c r="I4" s="4" t="s">
        <v>21</v>
      </c>
      <c r="J4" s="4" t="s">
        <v>27</v>
      </c>
      <c r="K4" s="6">
        <f t="shared" si="1"/>
        <v>615</v>
      </c>
    </row>
    <row r="5" ht="15.75" customHeight="1">
      <c r="A5" s="4">
        <v>117.0</v>
      </c>
      <c r="B5" s="4" t="s">
        <v>28</v>
      </c>
      <c r="C5" s="4" t="s">
        <v>29</v>
      </c>
      <c r="D5" s="5">
        <v>45700.0</v>
      </c>
      <c r="E5" s="4" t="s">
        <v>30</v>
      </c>
      <c r="F5" s="4" t="s">
        <v>31</v>
      </c>
      <c r="G5" s="4">
        <v>-2.0</v>
      </c>
      <c r="H5" s="6">
        <v>10000.0</v>
      </c>
      <c r="I5" s="4" t="s">
        <v>15</v>
      </c>
      <c r="J5" s="4" t="s">
        <v>22</v>
      </c>
      <c r="K5" s="6">
        <v>-20000.0</v>
      </c>
    </row>
    <row r="6" ht="15.75" customHeight="1">
      <c r="A6" s="4">
        <v>106.0</v>
      </c>
      <c r="B6" s="4" t="s">
        <v>32</v>
      </c>
      <c r="C6" s="4" t="s">
        <v>33</v>
      </c>
      <c r="D6" s="5">
        <v>45690.0</v>
      </c>
      <c r="E6" s="4" t="s">
        <v>30</v>
      </c>
      <c r="F6" s="4" t="s">
        <v>26</v>
      </c>
      <c r="G6" s="4">
        <v>1.0</v>
      </c>
      <c r="H6" s="6">
        <v>978.63</v>
      </c>
      <c r="I6" s="4" t="s">
        <v>34</v>
      </c>
      <c r="J6" s="4" t="s">
        <v>22</v>
      </c>
      <c r="K6" s="6">
        <f>H6*G6</f>
        <v>978.63</v>
      </c>
    </row>
    <row r="7" ht="15.75" customHeight="1">
      <c r="A7" s="4">
        <v>194.0</v>
      </c>
      <c r="B7" s="4" t="s">
        <v>35</v>
      </c>
      <c r="C7" s="4" t="s">
        <v>36</v>
      </c>
      <c r="D7" s="5">
        <v>45698.0</v>
      </c>
      <c r="E7" s="4" t="s">
        <v>37</v>
      </c>
      <c r="F7" s="4" t="s">
        <v>26</v>
      </c>
      <c r="G7" s="4">
        <v>5.0</v>
      </c>
      <c r="H7" s="6">
        <v>944.54</v>
      </c>
      <c r="I7" s="4" t="s">
        <v>15</v>
      </c>
      <c r="J7" s="4" t="s">
        <v>38</v>
      </c>
      <c r="K7" s="6">
        <v>4722.7</v>
      </c>
    </row>
    <row r="8" ht="15.75" customHeight="1">
      <c r="A8" s="4">
        <v>172.0</v>
      </c>
      <c r="B8" s="4" t="s">
        <v>39</v>
      </c>
      <c r="C8" s="4" t="s">
        <v>40</v>
      </c>
      <c r="D8" s="5">
        <v>45614.0</v>
      </c>
      <c r="E8" s="4" t="s">
        <v>41</v>
      </c>
      <c r="F8" s="4" t="s">
        <v>42</v>
      </c>
      <c r="G8" s="4">
        <v>2.0</v>
      </c>
      <c r="H8" s="6">
        <v>942.76</v>
      </c>
      <c r="I8" s="4" t="s">
        <v>34</v>
      </c>
      <c r="J8" s="4" t="s">
        <v>38</v>
      </c>
      <c r="K8" s="6">
        <v>1885.52</v>
      </c>
    </row>
    <row r="9" ht="15.75" customHeight="1">
      <c r="A9" s="4">
        <v>158.0</v>
      </c>
      <c r="B9" s="4" t="s">
        <v>43</v>
      </c>
      <c r="C9" s="4" t="s">
        <v>44</v>
      </c>
      <c r="D9" s="5">
        <v>45752.0</v>
      </c>
      <c r="E9" s="4" t="s">
        <v>45</v>
      </c>
      <c r="F9" s="4" t="s">
        <v>20</v>
      </c>
      <c r="G9" s="4">
        <v>1.0</v>
      </c>
      <c r="H9" s="6">
        <v>933.58</v>
      </c>
      <c r="I9" s="4" t="s">
        <v>15</v>
      </c>
      <c r="J9" s="4" t="s">
        <v>46</v>
      </c>
      <c r="K9" s="6">
        <v>933.58</v>
      </c>
    </row>
    <row r="10" ht="15.75" customHeight="1">
      <c r="A10" s="4">
        <v>190.0</v>
      </c>
      <c r="B10" s="4" t="s">
        <v>47</v>
      </c>
      <c r="C10" s="4" t="s">
        <v>48</v>
      </c>
      <c r="D10" s="5">
        <v>45837.0</v>
      </c>
      <c r="E10" s="4" t="s">
        <v>25</v>
      </c>
      <c r="F10" s="4" t="s">
        <v>26</v>
      </c>
      <c r="G10" s="4">
        <v>1.0</v>
      </c>
      <c r="H10" s="6">
        <v>920.37</v>
      </c>
      <c r="I10" s="4" t="s">
        <v>34</v>
      </c>
      <c r="J10" s="4" t="s">
        <v>22</v>
      </c>
      <c r="K10" s="6">
        <v>920.37</v>
      </c>
    </row>
    <row r="11" ht="15.75" customHeight="1">
      <c r="A11" s="4">
        <v>128.0</v>
      </c>
      <c r="B11" s="4" t="s">
        <v>49</v>
      </c>
      <c r="C11" s="4" t="s">
        <v>50</v>
      </c>
      <c r="D11" s="5">
        <v>45606.0</v>
      </c>
      <c r="E11" s="4" t="s">
        <v>37</v>
      </c>
      <c r="F11" s="4" t="s">
        <v>20</v>
      </c>
      <c r="G11" s="4">
        <v>3.0</v>
      </c>
      <c r="H11" s="6">
        <v>898.69</v>
      </c>
      <c r="I11" s="4" t="s">
        <v>34</v>
      </c>
      <c r="J11" s="4" t="s">
        <v>27</v>
      </c>
      <c r="K11" s="6">
        <v>2696.07</v>
      </c>
    </row>
    <row r="12" ht="15.75" customHeight="1">
      <c r="A12" s="4">
        <v>149.0</v>
      </c>
      <c r="B12" s="4" t="s">
        <v>51</v>
      </c>
      <c r="C12" s="4" t="s">
        <v>52</v>
      </c>
      <c r="D12" s="5">
        <v>45837.0</v>
      </c>
      <c r="E12" s="4" t="s">
        <v>41</v>
      </c>
      <c r="F12" s="4" t="s">
        <v>42</v>
      </c>
      <c r="G12" s="4">
        <v>5.0</v>
      </c>
      <c r="H12" s="6">
        <v>896.38</v>
      </c>
      <c r="I12" s="4" t="s">
        <v>34</v>
      </c>
      <c r="J12" s="4" t="s">
        <v>16</v>
      </c>
      <c r="K12" s="6">
        <v>4481.9</v>
      </c>
    </row>
    <row r="13" ht="15.75" customHeight="1">
      <c r="A13" s="4">
        <v>187.0</v>
      </c>
      <c r="B13" s="4" t="s">
        <v>53</v>
      </c>
      <c r="C13" s="4" t="s">
        <v>54</v>
      </c>
      <c r="D13" s="5">
        <v>45615.0</v>
      </c>
      <c r="E13" s="4" t="s">
        <v>19</v>
      </c>
      <c r="F13" s="4" t="s">
        <v>20</v>
      </c>
      <c r="G13" s="4">
        <v>3.0</v>
      </c>
      <c r="H13" s="6">
        <v>882.96</v>
      </c>
      <c r="I13" s="4" t="s">
        <v>34</v>
      </c>
      <c r="J13" s="4" t="s">
        <v>38</v>
      </c>
      <c r="K13" s="6">
        <v>2648.88</v>
      </c>
    </row>
    <row r="14" ht="15.75" customHeight="1">
      <c r="A14" s="4">
        <v>191.0</v>
      </c>
      <c r="B14" s="4" t="s">
        <v>55</v>
      </c>
      <c r="C14" s="4" t="s">
        <v>56</v>
      </c>
      <c r="D14" s="5">
        <v>45856.0</v>
      </c>
      <c r="E14" s="4" t="s">
        <v>57</v>
      </c>
      <c r="F14" s="4" t="s">
        <v>42</v>
      </c>
      <c r="G14" s="4">
        <v>2.0</v>
      </c>
      <c r="H14" s="6">
        <v>881.02</v>
      </c>
      <c r="I14" s="4" t="s">
        <v>15</v>
      </c>
      <c r="J14" s="4" t="s">
        <v>38</v>
      </c>
      <c r="K14" s="6">
        <v>1762.04</v>
      </c>
    </row>
    <row r="15" ht="15.75" customHeight="1">
      <c r="A15" s="4">
        <v>179.0</v>
      </c>
      <c r="B15" s="4" t="s">
        <v>58</v>
      </c>
      <c r="C15" s="4" t="s">
        <v>59</v>
      </c>
      <c r="D15" s="5">
        <v>45903.0</v>
      </c>
      <c r="E15" s="4" t="s">
        <v>60</v>
      </c>
      <c r="F15" s="4" t="s">
        <v>14</v>
      </c>
      <c r="G15" s="4">
        <v>3.0</v>
      </c>
      <c r="H15" s="6">
        <v>868.67</v>
      </c>
      <c r="I15" s="4" t="s">
        <v>21</v>
      </c>
      <c r="J15" s="4" t="s">
        <v>27</v>
      </c>
      <c r="K15" s="6">
        <v>2606.01</v>
      </c>
    </row>
    <row r="16" ht="15.75" customHeight="1">
      <c r="A16" s="4">
        <v>111.0</v>
      </c>
      <c r="B16" s="4" t="s">
        <v>61</v>
      </c>
      <c r="C16" s="4" t="s">
        <v>62</v>
      </c>
      <c r="D16" s="5">
        <v>45952.0</v>
      </c>
      <c r="E16" s="4" t="s">
        <v>41</v>
      </c>
      <c r="F16" s="4" t="s">
        <v>42</v>
      </c>
      <c r="G16" s="4">
        <v>2.0</v>
      </c>
      <c r="H16" s="6">
        <v>865.77</v>
      </c>
      <c r="I16" s="4" t="s">
        <v>63</v>
      </c>
      <c r="J16" s="4" t="s">
        <v>38</v>
      </c>
      <c r="K16" s="6">
        <v>1731.54</v>
      </c>
    </row>
    <row r="17" ht="15.75" customHeight="1">
      <c r="A17" s="4">
        <v>145.0</v>
      </c>
      <c r="B17" s="4" t="s">
        <v>64</v>
      </c>
      <c r="C17" s="4" t="s">
        <v>65</v>
      </c>
      <c r="D17" s="5">
        <v>45047.0</v>
      </c>
      <c r="E17" s="4" t="s">
        <v>66</v>
      </c>
      <c r="F17" s="4" t="s">
        <v>20</v>
      </c>
      <c r="G17" s="4">
        <v>2.0</v>
      </c>
      <c r="H17" s="6">
        <v>860.99</v>
      </c>
      <c r="I17" s="4" t="s">
        <v>34</v>
      </c>
      <c r="J17" s="4" t="s">
        <v>38</v>
      </c>
      <c r="K17" s="6">
        <v>1721.98</v>
      </c>
    </row>
    <row r="18" ht="15.75" customHeight="1">
      <c r="A18" s="4">
        <v>144.0</v>
      </c>
      <c r="B18" s="4" t="s">
        <v>67</v>
      </c>
      <c r="C18" s="4" t="s">
        <v>68</v>
      </c>
      <c r="D18" s="5">
        <v>45684.0</v>
      </c>
      <c r="E18" s="4" t="s">
        <v>69</v>
      </c>
      <c r="F18" s="4" t="s">
        <v>14</v>
      </c>
      <c r="G18" s="4">
        <v>5.0</v>
      </c>
      <c r="H18" s="6">
        <v>849.07</v>
      </c>
      <c r="I18" s="4" t="s">
        <v>34</v>
      </c>
      <c r="J18" s="4" t="s">
        <v>22</v>
      </c>
      <c r="K18" s="6">
        <v>4245.35</v>
      </c>
    </row>
    <row r="19" ht="15.75" customHeight="1">
      <c r="A19" s="4">
        <v>126.0</v>
      </c>
      <c r="B19" s="4" t="s">
        <v>70</v>
      </c>
      <c r="C19" s="4" t="s">
        <v>71</v>
      </c>
      <c r="D19" s="5">
        <v>45795.0</v>
      </c>
      <c r="E19" s="4" t="s">
        <v>72</v>
      </c>
      <c r="F19" s="4" t="s">
        <v>73</v>
      </c>
      <c r="G19" s="4">
        <v>4.0</v>
      </c>
      <c r="H19" s="6">
        <v>836.8</v>
      </c>
      <c r="I19" s="4" t="s">
        <v>34</v>
      </c>
      <c r="J19" s="4" t="s">
        <v>16</v>
      </c>
      <c r="K19" s="6">
        <v>3347.2</v>
      </c>
    </row>
    <row r="20" ht="15.75" customHeight="1">
      <c r="A20" s="4">
        <v>143.0</v>
      </c>
      <c r="B20" s="4" t="s">
        <v>74</v>
      </c>
      <c r="C20" s="4" t="s">
        <v>75</v>
      </c>
      <c r="D20" s="5">
        <v>45849.0</v>
      </c>
      <c r="E20" s="4" t="s">
        <v>76</v>
      </c>
      <c r="F20" s="4" t="s">
        <v>73</v>
      </c>
      <c r="G20" s="4">
        <v>5.0</v>
      </c>
      <c r="H20" s="6">
        <v>826.77</v>
      </c>
      <c r="I20" s="4" t="s">
        <v>34</v>
      </c>
      <c r="J20" s="4" t="s">
        <v>16</v>
      </c>
      <c r="K20" s="6">
        <v>4133.85</v>
      </c>
    </row>
    <row r="21" ht="15.75" customHeight="1">
      <c r="A21" s="4">
        <v>195.0</v>
      </c>
      <c r="B21" s="4" t="s">
        <v>77</v>
      </c>
      <c r="C21" s="4" t="s">
        <v>78</v>
      </c>
      <c r="D21" s="5">
        <v>45827.0</v>
      </c>
      <c r="E21" s="4" t="s">
        <v>79</v>
      </c>
      <c r="F21" s="4" t="s">
        <v>42</v>
      </c>
      <c r="G21" s="4">
        <v>5.0</v>
      </c>
      <c r="H21" s="6">
        <v>817.46</v>
      </c>
      <c r="I21" s="4" t="s">
        <v>15</v>
      </c>
      <c r="J21" s="4" t="s">
        <v>38</v>
      </c>
      <c r="K21" s="6">
        <v>4087.3</v>
      </c>
    </row>
    <row r="22" ht="15.75" customHeight="1">
      <c r="A22" s="4">
        <v>189.0</v>
      </c>
      <c r="B22" s="4" t="s">
        <v>80</v>
      </c>
      <c r="C22" s="4" t="s">
        <v>81</v>
      </c>
      <c r="D22" s="5">
        <v>45883.0</v>
      </c>
      <c r="E22" s="4" t="s">
        <v>37</v>
      </c>
      <c r="F22" s="4" t="s">
        <v>26</v>
      </c>
      <c r="G22" s="4">
        <v>1.0</v>
      </c>
      <c r="H22" s="6">
        <v>814.68</v>
      </c>
      <c r="I22" s="4" t="s">
        <v>15</v>
      </c>
      <c r="J22" s="4" t="s">
        <v>38</v>
      </c>
      <c r="K22" s="6">
        <v>814.68</v>
      </c>
    </row>
    <row r="23" ht="15.75" customHeight="1">
      <c r="A23" s="4">
        <v>115.0</v>
      </c>
      <c r="B23" s="4" t="s">
        <v>82</v>
      </c>
      <c r="C23" s="4" t="s">
        <v>83</v>
      </c>
      <c r="D23" s="5">
        <v>45667.0</v>
      </c>
      <c r="E23" s="4" t="s">
        <v>57</v>
      </c>
      <c r="F23" s="4" t="s">
        <v>42</v>
      </c>
      <c r="G23" s="4">
        <v>2.0</v>
      </c>
      <c r="H23" s="6">
        <v>796.84</v>
      </c>
      <c r="I23" s="4" t="s">
        <v>15</v>
      </c>
      <c r="J23" s="4" t="s">
        <v>38</v>
      </c>
      <c r="K23" s="6">
        <v>1115.576</v>
      </c>
    </row>
    <row r="24" ht="15.75" customHeight="1">
      <c r="A24" s="4">
        <v>154.0</v>
      </c>
      <c r="B24" s="4" t="s">
        <v>84</v>
      </c>
      <c r="C24" s="4" t="s">
        <v>85</v>
      </c>
      <c r="D24" s="5">
        <v>45709.0</v>
      </c>
      <c r="E24" s="4" t="s">
        <v>30</v>
      </c>
      <c r="F24" s="4" t="s">
        <v>26</v>
      </c>
      <c r="G24" s="4">
        <v>5.0</v>
      </c>
      <c r="H24" s="6">
        <v>789.64</v>
      </c>
      <c r="I24" s="4" t="s">
        <v>15</v>
      </c>
      <c r="J24" s="4" t="s">
        <v>16</v>
      </c>
      <c r="K24" s="6">
        <v>3948.2</v>
      </c>
    </row>
    <row r="25" ht="15.75" customHeight="1">
      <c r="A25" s="4">
        <v>125.0</v>
      </c>
      <c r="B25" s="4" t="s">
        <v>86</v>
      </c>
      <c r="C25" s="4" t="s">
        <v>87</v>
      </c>
      <c r="D25" s="5">
        <v>45697.0</v>
      </c>
      <c r="E25" s="4" t="s">
        <v>41</v>
      </c>
      <c r="F25" s="4" t="s">
        <v>42</v>
      </c>
      <c r="G25" s="4">
        <v>4.0</v>
      </c>
      <c r="H25" s="6">
        <v>765.69</v>
      </c>
      <c r="I25" s="4" t="s">
        <v>21</v>
      </c>
      <c r="J25" s="4" t="s">
        <v>46</v>
      </c>
      <c r="K25" s="6">
        <v>3062.76</v>
      </c>
    </row>
    <row r="26" ht="15.75" customHeight="1">
      <c r="A26" s="4">
        <v>112.0</v>
      </c>
      <c r="B26" s="4" t="s">
        <v>88</v>
      </c>
      <c r="C26" s="4" t="s">
        <v>89</v>
      </c>
      <c r="D26" s="5">
        <v>45718.0</v>
      </c>
      <c r="E26" s="4" t="s">
        <v>72</v>
      </c>
      <c r="F26" s="4" t="s">
        <v>73</v>
      </c>
      <c r="G26" s="4">
        <v>4.0</v>
      </c>
      <c r="H26" s="6">
        <v>752.13</v>
      </c>
      <c r="I26" s="4" t="s">
        <v>34</v>
      </c>
      <c r="J26" s="4" t="s">
        <v>27</v>
      </c>
      <c r="K26" s="6">
        <v>3008.52</v>
      </c>
    </row>
    <row r="27" ht="15.75" customHeight="1">
      <c r="A27" s="4">
        <v>170.0</v>
      </c>
      <c r="B27" s="4" t="s">
        <v>90</v>
      </c>
      <c r="C27" s="4" t="s">
        <v>91</v>
      </c>
      <c r="D27" s="5">
        <v>45933.0</v>
      </c>
      <c r="E27" s="4" t="s">
        <v>92</v>
      </c>
      <c r="F27" s="4" t="s">
        <v>73</v>
      </c>
      <c r="G27" s="4">
        <v>5.0</v>
      </c>
      <c r="H27" s="6">
        <v>741.63</v>
      </c>
      <c r="I27" s="4" t="s">
        <v>34</v>
      </c>
      <c r="J27" s="4" t="s">
        <v>22</v>
      </c>
      <c r="K27" s="6">
        <v>3708.15</v>
      </c>
    </row>
    <row r="28" ht="15.75" customHeight="1">
      <c r="A28" s="4">
        <v>129.0</v>
      </c>
      <c r="B28" s="4" t="s">
        <v>93</v>
      </c>
      <c r="C28" s="4" t="s">
        <v>94</v>
      </c>
      <c r="D28" s="5">
        <v>45830.0</v>
      </c>
      <c r="E28" s="4" t="s">
        <v>95</v>
      </c>
      <c r="F28" s="4" t="s">
        <v>42</v>
      </c>
      <c r="G28" s="4">
        <v>4.0</v>
      </c>
      <c r="H28" s="6">
        <v>736.71</v>
      </c>
      <c r="I28" s="4" t="s">
        <v>34</v>
      </c>
      <c r="J28" s="4" t="s">
        <v>38</v>
      </c>
      <c r="K28" s="6">
        <v>2946.84</v>
      </c>
    </row>
    <row r="29" ht="15.75" customHeight="1">
      <c r="A29" s="4">
        <v>185.0</v>
      </c>
      <c r="B29" s="4" t="s">
        <v>96</v>
      </c>
      <c r="C29" s="4" t="s">
        <v>97</v>
      </c>
      <c r="D29" s="5">
        <v>45883.0</v>
      </c>
      <c r="E29" s="4" t="s">
        <v>69</v>
      </c>
      <c r="F29" s="4" t="s">
        <v>14</v>
      </c>
      <c r="G29" s="4">
        <v>2.0</v>
      </c>
      <c r="H29" s="6">
        <v>730.92</v>
      </c>
      <c r="I29" s="4" t="s">
        <v>15</v>
      </c>
      <c r="J29" s="4" t="s">
        <v>16</v>
      </c>
      <c r="K29" s="6">
        <v>1023.288</v>
      </c>
    </row>
    <row r="30" ht="15.75" customHeight="1">
      <c r="A30" s="4">
        <v>146.0</v>
      </c>
      <c r="B30" s="4" t="s">
        <v>98</v>
      </c>
      <c r="C30" s="4" t="s">
        <v>99</v>
      </c>
      <c r="D30" s="5">
        <v>45847.0</v>
      </c>
      <c r="E30" s="4" t="s">
        <v>13</v>
      </c>
      <c r="F30" s="4" t="s">
        <v>31</v>
      </c>
      <c r="G30" s="4">
        <v>2.0</v>
      </c>
      <c r="H30" s="6">
        <v>705.42</v>
      </c>
      <c r="I30" s="4" t="s">
        <v>34</v>
      </c>
      <c r="J30" s="4" t="s">
        <v>22</v>
      </c>
      <c r="K30" s="6">
        <v>1410.84</v>
      </c>
    </row>
    <row r="31" ht="15.75" customHeight="1">
      <c r="A31" s="4">
        <v>146.0</v>
      </c>
      <c r="B31" s="7" t="s">
        <v>100</v>
      </c>
      <c r="C31" s="7" t="s">
        <v>100</v>
      </c>
      <c r="D31" s="5">
        <v>45847.0</v>
      </c>
      <c r="E31" s="4" t="s">
        <v>13</v>
      </c>
      <c r="F31" s="4" t="s">
        <v>31</v>
      </c>
      <c r="G31" s="4">
        <v>2.0</v>
      </c>
      <c r="H31" s="6">
        <v>705.42</v>
      </c>
      <c r="I31" s="4" t="s">
        <v>34</v>
      </c>
      <c r="J31" s="4" t="s">
        <v>22</v>
      </c>
      <c r="K31" s="6">
        <v>1410.84</v>
      </c>
    </row>
    <row r="32" ht="15.75" customHeight="1">
      <c r="A32" s="4">
        <v>136.0</v>
      </c>
      <c r="B32" s="4" t="s">
        <v>101</v>
      </c>
      <c r="C32" s="4" t="s">
        <v>102</v>
      </c>
      <c r="D32" s="5">
        <v>45820.0</v>
      </c>
      <c r="E32" s="4" t="s">
        <v>103</v>
      </c>
      <c r="F32" s="7" t="s">
        <v>100</v>
      </c>
      <c r="G32" s="4">
        <v>1.0</v>
      </c>
      <c r="H32" s="6">
        <v>696.71</v>
      </c>
      <c r="I32" s="4" t="s">
        <v>63</v>
      </c>
      <c r="J32" s="4" t="s">
        <v>27</v>
      </c>
      <c r="K32" s="6">
        <v>696.71</v>
      </c>
    </row>
    <row r="33" ht="15.75" customHeight="1">
      <c r="A33" s="4">
        <v>171.0</v>
      </c>
      <c r="B33" s="4" t="s">
        <v>104</v>
      </c>
      <c r="C33" s="4" t="s">
        <v>105</v>
      </c>
      <c r="D33" s="5">
        <v>45632.0</v>
      </c>
      <c r="E33" s="4" t="s">
        <v>72</v>
      </c>
      <c r="F33" s="4" t="s">
        <v>73</v>
      </c>
      <c r="G33" s="4">
        <v>3.0</v>
      </c>
      <c r="H33" s="6">
        <v>688.68</v>
      </c>
      <c r="I33" s="4" t="s">
        <v>21</v>
      </c>
      <c r="J33" s="4" t="s">
        <v>22</v>
      </c>
      <c r="K33" s="6">
        <v>2066.04</v>
      </c>
    </row>
    <row r="34" ht="15.75" customHeight="1">
      <c r="A34" s="4">
        <v>139.0</v>
      </c>
      <c r="B34" s="4" t="s">
        <v>106</v>
      </c>
      <c r="C34" s="4" t="s">
        <v>107</v>
      </c>
      <c r="D34" s="5">
        <v>45697.0</v>
      </c>
      <c r="E34" s="4" t="s">
        <v>19</v>
      </c>
      <c r="F34" s="4" t="s">
        <v>20</v>
      </c>
      <c r="G34" s="4">
        <v>2.0</v>
      </c>
      <c r="H34" s="6">
        <v>681.38</v>
      </c>
      <c r="I34" s="4" t="s">
        <v>63</v>
      </c>
      <c r="J34" s="4" t="s">
        <v>16</v>
      </c>
      <c r="K34" s="6">
        <v>1362.76</v>
      </c>
    </row>
    <row r="35" ht="15.75" customHeight="1">
      <c r="A35" s="4">
        <v>148.0</v>
      </c>
      <c r="B35" s="4" t="s">
        <v>108</v>
      </c>
      <c r="C35" s="4" t="s">
        <v>109</v>
      </c>
      <c r="D35" s="5">
        <v>45729.0</v>
      </c>
      <c r="E35" s="4" t="s">
        <v>110</v>
      </c>
      <c r="F35" s="4" t="s">
        <v>14</v>
      </c>
      <c r="G35" s="4">
        <v>1.0</v>
      </c>
      <c r="H35" s="6">
        <v>660.98</v>
      </c>
      <c r="I35" s="4" t="s">
        <v>15</v>
      </c>
      <c r="J35" s="4" t="s">
        <v>38</v>
      </c>
      <c r="K35" s="6">
        <v>660.98</v>
      </c>
    </row>
    <row r="36" ht="15.75" customHeight="1">
      <c r="A36" s="4">
        <v>142.0</v>
      </c>
      <c r="B36" s="4" t="s">
        <v>111</v>
      </c>
      <c r="C36" s="4" t="s">
        <v>112</v>
      </c>
      <c r="D36" s="5">
        <v>45960.0</v>
      </c>
      <c r="E36" s="4" t="s">
        <v>72</v>
      </c>
      <c r="F36" s="4" t="s">
        <v>73</v>
      </c>
      <c r="G36" s="4">
        <v>5.0</v>
      </c>
      <c r="H36" s="6">
        <v>645.26</v>
      </c>
      <c r="I36" s="4" t="s">
        <v>63</v>
      </c>
      <c r="J36" s="4" t="s">
        <v>46</v>
      </c>
      <c r="K36" s="6">
        <v>2258.41</v>
      </c>
    </row>
    <row r="37" ht="15.75" customHeight="1">
      <c r="A37" s="4">
        <v>142.0</v>
      </c>
      <c r="B37" s="7" t="s">
        <v>100</v>
      </c>
      <c r="C37" s="7" t="s">
        <v>100</v>
      </c>
      <c r="D37" s="5">
        <v>45960.0</v>
      </c>
      <c r="E37" s="4" t="s">
        <v>72</v>
      </c>
      <c r="F37" s="4" t="s">
        <v>73</v>
      </c>
      <c r="G37" s="4">
        <v>5.0</v>
      </c>
      <c r="H37" s="6">
        <v>645.26</v>
      </c>
      <c r="I37" s="4" t="s">
        <v>63</v>
      </c>
      <c r="J37" s="4" t="s">
        <v>46</v>
      </c>
      <c r="K37" s="6">
        <v>3226.3</v>
      </c>
    </row>
    <row r="38" ht="15.75" customHeight="1">
      <c r="A38" s="4">
        <v>131.0</v>
      </c>
      <c r="B38" s="4" t="s">
        <v>113</v>
      </c>
      <c r="C38" s="4" t="s">
        <v>114</v>
      </c>
      <c r="D38" s="5">
        <v>45819.0</v>
      </c>
      <c r="E38" s="4" t="s">
        <v>37</v>
      </c>
      <c r="F38" s="4" t="s">
        <v>26</v>
      </c>
      <c r="G38" s="4">
        <v>5.0</v>
      </c>
      <c r="H38" s="6">
        <v>616.63</v>
      </c>
      <c r="I38" s="4" t="s">
        <v>21</v>
      </c>
      <c r="J38" s="4" t="s">
        <v>46</v>
      </c>
      <c r="K38" s="6">
        <v>3083.15</v>
      </c>
    </row>
    <row r="39" ht="15.75" customHeight="1">
      <c r="A39" s="4">
        <v>123.0</v>
      </c>
      <c r="B39" s="4" t="s">
        <v>115</v>
      </c>
      <c r="C39" s="4" t="s">
        <v>116</v>
      </c>
      <c r="D39" s="5">
        <v>45936.0</v>
      </c>
      <c r="E39" s="4" t="s">
        <v>25</v>
      </c>
      <c r="F39" s="4" t="s">
        <v>31</v>
      </c>
      <c r="G39" s="4">
        <v>3.0</v>
      </c>
      <c r="H39" s="6">
        <v>615.91</v>
      </c>
      <c r="I39" s="4" t="s">
        <v>15</v>
      </c>
      <c r="J39" s="4" t="s">
        <v>16</v>
      </c>
      <c r="K39" s="6">
        <v>1847.73</v>
      </c>
    </row>
    <row r="40" ht="15.75" customHeight="1">
      <c r="A40" s="4">
        <v>108.0</v>
      </c>
      <c r="B40" s="4" t="s">
        <v>117</v>
      </c>
      <c r="C40" s="4" t="s">
        <v>118</v>
      </c>
      <c r="D40" s="5">
        <v>45953.0</v>
      </c>
      <c r="E40" s="4" t="s">
        <v>95</v>
      </c>
      <c r="F40" s="4" t="s">
        <v>42</v>
      </c>
      <c r="G40" s="4">
        <v>1.0</v>
      </c>
      <c r="H40" s="6">
        <v>600.29</v>
      </c>
      <c r="I40" s="4" t="s">
        <v>15</v>
      </c>
      <c r="J40" s="4" t="s">
        <v>22</v>
      </c>
      <c r="K40" s="6">
        <v>600.29</v>
      </c>
    </row>
    <row r="41" ht="15.75" customHeight="1">
      <c r="A41" s="4">
        <v>147.0</v>
      </c>
      <c r="B41" s="4" t="s">
        <v>119</v>
      </c>
      <c r="C41" s="4" t="s">
        <v>120</v>
      </c>
      <c r="D41" s="5">
        <v>45778.0</v>
      </c>
      <c r="E41" s="4" t="s">
        <v>121</v>
      </c>
      <c r="F41" s="4" t="s">
        <v>73</v>
      </c>
      <c r="G41" s="4">
        <v>4.0</v>
      </c>
      <c r="H41" s="6">
        <v>596.15</v>
      </c>
      <c r="I41" s="4" t="s">
        <v>15</v>
      </c>
      <c r="J41" s="4" t="s">
        <v>46</v>
      </c>
      <c r="K41" s="6">
        <v>2384.6</v>
      </c>
    </row>
    <row r="42" ht="15.75" customHeight="1">
      <c r="A42" s="4">
        <v>167.0</v>
      </c>
      <c r="B42" s="4" t="s">
        <v>122</v>
      </c>
      <c r="C42" s="4" t="s">
        <v>123</v>
      </c>
      <c r="D42" s="5">
        <v>45876.0</v>
      </c>
      <c r="E42" s="4" t="s">
        <v>13</v>
      </c>
      <c r="F42" s="4" t="s">
        <v>14</v>
      </c>
      <c r="G42" s="4">
        <v>1.0</v>
      </c>
      <c r="H42" s="6">
        <v>593.93</v>
      </c>
      <c r="I42" s="4" t="s">
        <v>15</v>
      </c>
      <c r="J42" s="4" t="s">
        <v>22</v>
      </c>
      <c r="K42" s="6">
        <f>H42*G42</f>
        <v>593.93</v>
      </c>
    </row>
    <row r="43" ht="15.75" customHeight="1">
      <c r="A43" s="4">
        <v>134.0</v>
      </c>
      <c r="B43" s="4" t="s">
        <v>124</v>
      </c>
      <c r="C43" s="4" t="s">
        <v>125</v>
      </c>
      <c r="D43" s="5">
        <v>45934.0</v>
      </c>
      <c r="E43" s="4" t="s">
        <v>76</v>
      </c>
      <c r="F43" s="4" t="s">
        <v>73</v>
      </c>
      <c r="G43" s="4">
        <v>-5.0</v>
      </c>
      <c r="H43" s="6">
        <v>591.53</v>
      </c>
      <c r="I43" s="4" t="s">
        <v>21</v>
      </c>
      <c r="J43" s="4" t="s">
        <v>46</v>
      </c>
      <c r="K43" s="6">
        <v>-2957.65</v>
      </c>
    </row>
    <row r="44" ht="15.75" customHeight="1">
      <c r="A44" s="4">
        <v>140.0</v>
      </c>
      <c r="B44" s="4" t="s">
        <v>126</v>
      </c>
      <c r="C44" s="4" t="s">
        <v>127</v>
      </c>
      <c r="D44" s="5">
        <v>45714.0</v>
      </c>
      <c r="E44" s="4" t="s">
        <v>57</v>
      </c>
      <c r="F44" s="4" t="s">
        <v>42</v>
      </c>
      <c r="G44" s="4">
        <v>4.0</v>
      </c>
      <c r="H44" s="6">
        <v>588.98</v>
      </c>
      <c r="I44" s="4" t="s">
        <v>63</v>
      </c>
      <c r="J44" s="4" t="s">
        <v>38</v>
      </c>
      <c r="K44" s="6">
        <v>2355.92</v>
      </c>
    </row>
    <row r="45" ht="15.75" customHeight="1">
      <c r="A45" s="4">
        <v>107.0</v>
      </c>
      <c r="B45" s="4" t="s">
        <v>128</v>
      </c>
      <c r="C45" s="4" t="s">
        <v>129</v>
      </c>
      <c r="D45" s="5">
        <v>45660.0</v>
      </c>
      <c r="E45" s="4" t="s">
        <v>79</v>
      </c>
      <c r="F45" s="4" t="s">
        <v>42</v>
      </c>
      <c r="G45" s="4">
        <v>5.0</v>
      </c>
      <c r="H45" s="6">
        <v>587.68</v>
      </c>
      <c r="I45" s="4" t="s">
        <v>21</v>
      </c>
      <c r="J45" s="4" t="s">
        <v>38</v>
      </c>
      <c r="K45" s="6">
        <v>2938.4</v>
      </c>
    </row>
    <row r="46" ht="15.75" customHeight="1">
      <c r="A46" s="4">
        <v>164.0</v>
      </c>
      <c r="B46" s="4" t="s">
        <v>130</v>
      </c>
      <c r="C46" s="4" t="s">
        <v>131</v>
      </c>
      <c r="D46" s="5">
        <v>45697.0</v>
      </c>
      <c r="E46" s="4" t="s">
        <v>110</v>
      </c>
      <c r="F46" s="4" t="s">
        <v>14</v>
      </c>
      <c r="G46" s="4">
        <v>1.0</v>
      </c>
      <c r="H46" s="6">
        <v>587.64</v>
      </c>
      <c r="I46" s="4" t="s">
        <v>63</v>
      </c>
      <c r="J46" s="4" t="s">
        <v>38</v>
      </c>
      <c r="K46" s="6">
        <f>H46*G46</f>
        <v>587.64</v>
      </c>
    </row>
    <row r="47" ht="15.75" customHeight="1">
      <c r="A47" s="4">
        <v>169.0</v>
      </c>
      <c r="B47" s="4" t="s">
        <v>132</v>
      </c>
      <c r="C47" s="4" t="s">
        <v>133</v>
      </c>
      <c r="D47" s="5">
        <v>45881.0</v>
      </c>
      <c r="E47" s="4" t="s">
        <v>13</v>
      </c>
      <c r="F47" s="4" t="s">
        <v>14</v>
      </c>
      <c r="G47" s="4">
        <v>1.0</v>
      </c>
      <c r="H47" s="6">
        <v>582.13</v>
      </c>
      <c r="I47" s="4" t="s">
        <v>63</v>
      </c>
      <c r="J47" s="4" t="s">
        <v>38</v>
      </c>
      <c r="K47" s="6">
        <v>582.13</v>
      </c>
    </row>
    <row r="48" ht="15.75" customHeight="1">
      <c r="A48" s="4">
        <v>166.0</v>
      </c>
      <c r="B48" s="4" t="s">
        <v>134</v>
      </c>
      <c r="C48" s="4" t="s">
        <v>135</v>
      </c>
      <c r="D48" s="5">
        <v>45841.0</v>
      </c>
      <c r="E48" s="4" t="s">
        <v>76</v>
      </c>
      <c r="F48" s="4" t="s">
        <v>20</v>
      </c>
      <c r="G48" s="4">
        <v>2.0</v>
      </c>
      <c r="H48" s="6">
        <v>569.38</v>
      </c>
      <c r="I48" s="4" t="s">
        <v>15</v>
      </c>
      <c r="J48" s="4" t="s">
        <v>46</v>
      </c>
      <c r="K48" s="6">
        <v>1138.76</v>
      </c>
    </row>
    <row r="49" ht="15.75" customHeight="1">
      <c r="A49" s="4">
        <v>122.0</v>
      </c>
      <c r="B49" s="4" t="s">
        <v>136</v>
      </c>
      <c r="C49" s="4" t="s">
        <v>137</v>
      </c>
      <c r="D49" s="5">
        <v>45793.0</v>
      </c>
      <c r="E49" s="4" t="s">
        <v>138</v>
      </c>
      <c r="F49" s="4" t="s">
        <v>26</v>
      </c>
      <c r="G49" s="4">
        <v>2.0</v>
      </c>
      <c r="H49" s="6">
        <v>556.93</v>
      </c>
      <c r="I49" s="4" t="s">
        <v>21</v>
      </c>
      <c r="J49" s="4" t="s">
        <v>46</v>
      </c>
      <c r="K49" s="6">
        <v>1113.86</v>
      </c>
    </row>
    <row r="50" ht="15.75" customHeight="1">
      <c r="A50" s="4">
        <v>104.0</v>
      </c>
      <c r="B50" s="4" t="s">
        <v>139</v>
      </c>
      <c r="C50" s="4" t="s">
        <v>140</v>
      </c>
      <c r="D50" s="5">
        <v>45950.0</v>
      </c>
      <c r="E50" s="4" t="s">
        <v>79</v>
      </c>
      <c r="F50" s="4" t="s">
        <v>42</v>
      </c>
      <c r="G50" s="4">
        <v>1.0</v>
      </c>
      <c r="H50" s="6">
        <v>552.51</v>
      </c>
      <c r="I50" s="4" t="s">
        <v>15</v>
      </c>
      <c r="J50" s="4" t="s">
        <v>22</v>
      </c>
      <c r="K50" s="6">
        <v>552.51</v>
      </c>
    </row>
    <row r="51" ht="15.75" customHeight="1">
      <c r="A51" s="4">
        <v>141.0</v>
      </c>
      <c r="B51" s="4" t="s">
        <v>141</v>
      </c>
      <c r="C51" s="4" t="s">
        <v>142</v>
      </c>
      <c r="D51" s="5">
        <v>45701.0</v>
      </c>
      <c r="E51" s="4" t="s">
        <v>57</v>
      </c>
      <c r="F51" s="4" t="s">
        <v>42</v>
      </c>
      <c r="G51" s="4">
        <v>3.0</v>
      </c>
      <c r="H51" s="6">
        <v>546.04</v>
      </c>
      <c r="I51" s="4" t="s">
        <v>15</v>
      </c>
      <c r="J51" s="4" t="s">
        <v>38</v>
      </c>
      <c r="K51" s="6">
        <v>1638.12</v>
      </c>
    </row>
    <row r="52" ht="15.75" customHeight="1">
      <c r="A52" s="4">
        <v>182.0</v>
      </c>
      <c r="B52" s="4" t="s">
        <v>143</v>
      </c>
      <c r="C52" s="4" t="s">
        <v>144</v>
      </c>
      <c r="D52" s="5">
        <v>45872.0</v>
      </c>
      <c r="E52" s="4" t="s">
        <v>72</v>
      </c>
      <c r="F52" s="7" t="s">
        <v>100</v>
      </c>
      <c r="G52" s="4">
        <v>4.0</v>
      </c>
      <c r="H52" s="6">
        <v>538.35</v>
      </c>
      <c r="I52" s="4" t="s">
        <v>21</v>
      </c>
      <c r="J52" s="4" t="s">
        <v>22</v>
      </c>
      <c r="K52" s="6">
        <v>2153.4</v>
      </c>
    </row>
    <row r="53" ht="15.75" customHeight="1">
      <c r="A53" s="4">
        <v>138.0</v>
      </c>
      <c r="B53" s="4" t="s">
        <v>145</v>
      </c>
      <c r="C53" s="4" t="s">
        <v>146</v>
      </c>
      <c r="D53" s="5">
        <v>45878.0</v>
      </c>
      <c r="E53" s="4" t="s">
        <v>37</v>
      </c>
      <c r="F53" s="4" t="s">
        <v>26</v>
      </c>
      <c r="G53" s="4">
        <v>1.0</v>
      </c>
      <c r="H53" s="6">
        <v>531.06</v>
      </c>
      <c r="I53" s="4" t="s">
        <v>21</v>
      </c>
      <c r="J53" s="4" t="s">
        <v>22</v>
      </c>
      <c r="K53" s="6">
        <v>531.06</v>
      </c>
    </row>
    <row r="54" ht="15.75" customHeight="1">
      <c r="A54" s="4">
        <v>176.0</v>
      </c>
      <c r="B54" s="4" t="s">
        <v>147</v>
      </c>
      <c r="C54" s="4" t="s">
        <v>148</v>
      </c>
      <c r="D54" s="5">
        <v>45860.0</v>
      </c>
      <c r="E54" s="4" t="s">
        <v>41</v>
      </c>
      <c r="F54" s="4" t="s">
        <v>42</v>
      </c>
      <c r="G54" s="4">
        <v>5.0</v>
      </c>
      <c r="H54" s="6">
        <v>530.52</v>
      </c>
      <c r="I54" s="4" t="s">
        <v>15</v>
      </c>
      <c r="J54" s="4" t="s">
        <v>46</v>
      </c>
      <c r="K54" s="6">
        <v>2652.6</v>
      </c>
    </row>
    <row r="55" ht="15.75" customHeight="1">
      <c r="A55" s="4">
        <v>121.0</v>
      </c>
      <c r="B55" s="4" t="s">
        <v>149</v>
      </c>
      <c r="C55" s="4" t="s">
        <v>150</v>
      </c>
      <c r="D55" s="5">
        <v>45941.0</v>
      </c>
      <c r="E55" s="4" t="s">
        <v>13</v>
      </c>
      <c r="F55" s="4" t="s">
        <v>14</v>
      </c>
      <c r="G55" s="4">
        <v>4.0</v>
      </c>
      <c r="H55" s="6">
        <v>523.01</v>
      </c>
      <c r="I55" s="4" t="s">
        <v>63</v>
      </c>
      <c r="J55" s="4" t="s">
        <v>27</v>
      </c>
      <c r="K55" s="6">
        <v>2092.04</v>
      </c>
    </row>
    <row r="56" ht="15.75" customHeight="1">
      <c r="A56" s="4">
        <v>193.0</v>
      </c>
      <c r="B56" s="4" t="s">
        <v>151</v>
      </c>
      <c r="C56" s="4" t="s">
        <v>152</v>
      </c>
      <c r="D56" s="5">
        <v>45814.0</v>
      </c>
      <c r="E56" s="4" t="s">
        <v>13</v>
      </c>
      <c r="F56" s="4" t="s">
        <v>14</v>
      </c>
      <c r="G56" s="4">
        <v>1.0</v>
      </c>
      <c r="H56" s="6">
        <v>522.02</v>
      </c>
      <c r="I56" s="4" t="s">
        <v>21</v>
      </c>
      <c r="J56" s="4" t="s">
        <v>46</v>
      </c>
      <c r="K56" s="6">
        <f>H56*G56</f>
        <v>522.02</v>
      </c>
    </row>
    <row r="57" ht="15.75" customHeight="1">
      <c r="A57" s="4">
        <v>188.0</v>
      </c>
      <c r="B57" s="4" t="s">
        <v>153</v>
      </c>
      <c r="C57" s="4" t="s">
        <v>154</v>
      </c>
      <c r="D57" s="5">
        <v>45615.0</v>
      </c>
      <c r="E57" s="4" t="s">
        <v>138</v>
      </c>
      <c r="F57" s="4" t="s">
        <v>26</v>
      </c>
      <c r="G57" s="4">
        <v>5.0</v>
      </c>
      <c r="H57" s="6">
        <v>504.05</v>
      </c>
      <c r="I57" s="4" t="s">
        <v>15</v>
      </c>
      <c r="J57" s="4" t="s">
        <v>46</v>
      </c>
      <c r="K57" s="6">
        <v>2520.25</v>
      </c>
    </row>
    <row r="58" ht="15.75" customHeight="1">
      <c r="A58" s="4">
        <v>198.0</v>
      </c>
      <c r="B58" s="4" t="s">
        <v>155</v>
      </c>
      <c r="C58" s="4" t="s">
        <v>156</v>
      </c>
      <c r="D58" s="5">
        <v>45865.0</v>
      </c>
      <c r="E58" s="4" t="s">
        <v>25</v>
      </c>
      <c r="F58" s="7" t="s">
        <v>100</v>
      </c>
      <c r="G58" s="4">
        <v>2.0</v>
      </c>
      <c r="H58" s="6">
        <v>497.01</v>
      </c>
      <c r="I58" s="4" t="s">
        <v>15</v>
      </c>
      <c r="J58" s="4" t="s">
        <v>46</v>
      </c>
      <c r="K58" s="6">
        <v>994.02</v>
      </c>
    </row>
    <row r="59" ht="15.75" customHeight="1">
      <c r="A59" s="4">
        <v>178.0</v>
      </c>
      <c r="B59" s="4" t="s">
        <v>157</v>
      </c>
      <c r="C59" s="4" t="s">
        <v>158</v>
      </c>
      <c r="D59" s="5">
        <v>45918.0</v>
      </c>
      <c r="E59" s="4" t="s">
        <v>110</v>
      </c>
      <c r="F59" s="4" t="s">
        <v>14</v>
      </c>
      <c r="G59" s="4">
        <v>3.0</v>
      </c>
      <c r="H59" s="6">
        <v>472.14</v>
      </c>
      <c r="I59" s="4" t="s">
        <v>21</v>
      </c>
      <c r="J59" s="4" t="s">
        <v>38</v>
      </c>
      <c r="K59" s="6">
        <v>1416.42</v>
      </c>
    </row>
    <row r="60" ht="15.75" customHeight="1">
      <c r="A60" s="4">
        <v>151.0</v>
      </c>
      <c r="B60" s="4" t="s">
        <v>159</v>
      </c>
      <c r="C60" s="4" t="s">
        <v>160</v>
      </c>
      <c r="D60" s="5">
        <v>45839.0</v>
      </c>
      <c r="E60" s="4" t="s">
        <v>41</v>
      </c>
      <c r="F60" s="4" t="s">
        <v>42</v>
      </c>
      <c r="G60" s="4">
        <v>2.0</v>
      </c>
      <c r="H60" s="6">
        <v>457.16</v>
      </c>
      <c r="I60" s="4" t="s">
        <v>21</v>
      </c>
      <c r="J60" s="4" t="s">
        <v>22</v>
      </c>
      <c r="K60" s="6">
        <v>640.024</v>
      </c>
    </row>
    <row r="61" ht="15.75" customHeight="1">
      <c r="A61" s="4">
        <v>135.0</v>
      </c>
      <c r="B61" s="4" t="s">
        <v>161</v>
      </c>
      <c r="C61" s="4" t="s">
        <v>162</v>
      </c>
      <c r="D61" s="5">
        <v>45697.0</v>
      </c>
      <c r="E61" s="4" t="s">
        <v>45</v>
      </c>
      <c r="F61" s="4" t="s">
        <v>20</v>
      </c>
      <c r="G61" s="4">
        <v>4.0</v>
      </c>
      <c r="H61" s="6">
        <v>446.19</v>
      </c>
      <c r="I61" s="4" t="s">
        <v>15</v>
      </c>
      <c r="J61" s="4" t="s">
        <v>16</v>
      </c>
      <c r="K61" s="6">
        <v>1784.76</v>
      </c>
    </row>
    <row r="62" ht="15.75" customHeight="1">
      <c r="A62" s="4">
        <v>165.0</v>
      </c>
      <c r="B62" s="4" t="s">
        <v>163</v>
      </c>
      <c r="C62" s="4" t="s">
        <v>164</v>
      </c>
      <c r="D62" s="5">
        <v>45604.0</v>
      </c>
      <c r="E62" s="4" t="s">
        <v>72</v>
      </c>
      <c r="F62" s="4" t="s">
        <v>73</v>
      </c>
      <c r="G62" s="4">
        <v>2.0</v>
      </c>
      <c r="H62" s="6">
        <v>443.13</v>
      </c>
      <c r="I62" s="4" t="s">
        <v>63</v>
      </c>
      <c r="J62" s="4" t="s">
        <v>27</v>
      </c>
      <c r="K62" s="6">
        <v>886.26</v>
      </c>
    </row>
    <row r="63" ht="15.75" customHeight="1">
      <c r="A63" s="4">
        <v>119.0</v>
      </c>
      <c r="B63" s="4" t="s">
        <v>165</v>
      </c>
      <c r="C63" s="4" t="s">
        <v>166</v>
      </c>
      <c r="D63" s="5">
        <v>45645.0</v>
      </c>
      <c r="E63" s="4" t="s">
        <v>13</v>
      </c>
      <c r="F63" s="4" t="s">
        <v>14</v>
      </c>
      <c r="G63" s="4">
        <v>4.0</v>
      </c>
      <c r="H63" s="6">
        <v>438.19</v>
      </c>
      <c r="I63" s="4" t="s">
        <v>15</v>
      </c>
      <c r="J63" s="4" t="s">
        <v>22</v>
      </c>
      <c r="K63" s="6">
        <v>1752.76</v>
      </c>
    </row>
    <row r="64" ht="15.75" customHeight="1">
      <c r="A64" s="4">
        <v>180.0</v>
      </c>
      <c r="B64" s="4" t="s">
        <v>167</v>
      </c>
      <c r="C64" s="4" t="s">
        <v>168</v>
      </c>
      <c r="D64" s="5">
        <v>45742.0</v>
      </c>
      <c r="E64" s="4" t="s">
        <v>66</v>
      </c>
      <c r="F64" s="7" t="s">
        <v>100</v>
      </c>
      <c r="G64" s="4">
        <v>2.0</v>
      </c>
      <c r="H64" s="6">
        <v>418.38</v>
      </c>
      <c r="I64" s="4" t="s">
        <v>63</v>
      </c>
      <c r="J64" s="4" t="s">
        <v>22</v>
      </c>
      <c r="K64" s="6">
        <v>836.76</v>
      </c>
    </row>
    <row r="65" ht="15.75" customHeight="1">
      <c r="A65" s="4">
        <v>114.0</v>
      </c>
      <c r="B65" s="4" t="s">
        <v>169</v>
      </c>
      <c r="C65" s="4" t="s">
        <v>170</v>
      </c>
      <c r="D65" s="5">
        <v>44931.0</v>
      </c>
      <c r="E65" s="4" t="s">
        <v>19</v>
      </c>
      <c r="F65" s="4" t="s">
        <v>20</v>
      </c>
      <c r="G65" s="4">
        <v>2.0</v>
      </c>
      <c r="H65" s="6">
        <v>413.13</v>
      </c>
      <c r="I65" s="4" t="s">
        <v>15</v>
      </c>
      <c r="J65" s="4" t="s">
        <v>46</v>
      </c>
      <c r="K65" s="6">
        <v>826.26</v>
      </c>
    </row>
    <row r="66" ht="15.75" customHeight="1">
      <c r="A66" s="4">
        <v>113.0</v>
      </c>
      <c r="B66" s="4" t="s">
        <v>171</v>
      </c>
      <c r="C66" s="4" t="s">
        <v>172</v>
      </c>
      <c r="D66" s="5">
        <v>45862.0</v>
      </c>
      <c r="E66" s="4" t="s">
        <v>57</v>
      </c>
      <c r="F66" s="4" t="s">
        <v>42</v>
      </c>
      <c r="G66" s="4">
        <v>1.0</v>
      </c>
      <c r="H66" s="6">
        <v>411.81</v>
      </c>
      <c r="I66" s="4" t="s">
        <v>63</v>
      </c>
      <c r="J66" s="4" t="s">
        <v>22</v>
      </c>
      <c r="K66" s="6">
        <v>411.81</v>
      </c>
    </row>
    <row r="67" ht="15.75" customHeight="1">
      <c r="A67" s="4">
        <v>102.0</v>
      </c>
      <c r="B67" s="4" t="s">
        <v>173</v>
      </c>
      <c r="C67" s="4" t="s">
        <v>174</v>
      </c>
      <c r="D67" s="5">
        <v>45649.0</v>
      </c>
      <c r="E67" s="4" t="s">
        <v>110</v>
      </c>
      <c r="F67" s="4" t="s">
        <v>14</v>
      </c>
      <c r="G67" s="4">
        <v>1.0</v>
      </c>
      <c r="H67" s="6">
        <v>389.05</v>
      </c>
      <c r="I67" s="4" t="s">
        <v>21</v>
      </c>
      <c r="J67" s="4" t="s">
        <v>27</v>
      </c>
      <c r="K67" s="6">
        <v>389.05</v>
      </c>
    </row>
    <row r="68" ht="15.75" customHeight="1">
      <c r="A68" s="4">
        <v>199.0</v>
      </c>
      <c r="B68" s="4" t="s">
        <v>175</v>
      </c>
      <c r="C68" s="4" t="s">
        <v>176</v>
      </c>
      <c r="D68" s="5">
        <v>45679.0</v>
      </c>
      <c r="E68" s="4" t="s">
        <v>30</v>
      </c>
      <c r="F68" s="4" t="s">
        <v>26</v>
      </c>
      <c r="G68" s="4">
        <v>5.0</v>
      </c>
      <c r="H68" s="6">
        <v>372.28</v>
      </c>
      <c r="I68" s="4" t="s">
        <v>63</v>
      </c>
      <c r="J68" s="4" t="s">
        <v>46</v>
      </c>
      <c r="K68" s="6">
        <v>1861.4</v>
      </c>
    </row>
    <row r="69" ht="15.75" customHeight="1">
      <c r="A69" s="4">
        <v>186.0</v>
      </c>
      <c r="B69" s="4" t="s">
        <v>177</v>
      </c>
      <c r="C69" s="4" t="s">
        <v>178</v>
      </c>
      <c r="D69" s="5">
        <v>45936.0</v>
      </c>
      <c r="E69" s="4" t="s">
        <v>66</v>
      </c>
      <c r="F69" s="4" t="s">
        <v>20</v>
      </c>
      <c r="G69" s="4">
        <v>1.0</v>
      </c>
      <c r="H69" s="6">
        <v>365.34</v>
      </c>
      <c r="I69" s="4" t="s">
        <v>34</v>
      </c>
      <c r="J69" s="4" t="s">
        <v>27</v>
      </c>
      <c r="K69" s="6">
        <v>365.34</v>
      </c>
    </row>
    <row r="70" ht="15.75" customHeight="1">
      <c r="A70" s="4">
        <v>173.0</v>
      </c>
      <c r="B70" s="4" t="s">
        <v>179</v>
      </c>
      <c r="C70" s="4" t="s">
        <v>180</v>
      </c>
      <c r="D70" s="5">
        <v>45941.0</v>
      </c>
      <c r="E70" s="4" t="s">
        <v>37</v>
      </c>
      <c r="F70" s="4" t="s">
        <v>26</v>
      </c>
      <c r="G70" s="4">
        <v>5.0</v>
      </c>
      <c r="H70" s="6">
        <v>351.89</v>
      </c>
      <c r="I70" s="4" t="s">
        <v>63</v>
      </c>
      <c r="J70" s="4" t="s">
        <v>46</v>
      </c>
      <c r="K70" s="6">
        <v>1759.45</v>
      </c>
    </row>
    <row r="71" ht="15.75" customHeight="1">
      <c r="A71" s="4">
        <v>133.0</v>
      </c>
      <c r="B71" s="4" t="s">
        <v>181</v>
      </c>
      <c r="C71" s="4" t="s">
        <v>182</v>
      </c>
      <c r="D71" s="5">
        <v>45631.0</v>
      </c>
      <c r="E71" s="4" t="s">
        <v>79</v>
      </c>
      <c r="F71" s="4" t="s">
        <v>183</v>
      </c>
      <c r="G71" s="4">
        <v>5.0</v>
      </c>
      <c r="H71" s="6">
        <v>343.24</v>
      </c>
      <c r="I71" s="4" t="s">
        <v>63</v>
      </c>
      <c r="J71" s="4" t="s">
        <v>46</v>
      </c>
      <c r="K71" s="6">
        <v>1716.2</v>
      </c>
    </row>
    <row r="72" ht="15.75" customHeight="1">
      <c r="A72" s="4">
        <v>127.0</v>
      </c>
      <c r="B72" s="4" t="s">
        <v>184</v>
      </c>
      <c r="C72" s="4" t="s">
        <v>185</v>
      </c>
      <c r="D72" s="5">
        <v>45789.0</v>
      </c>
      <c r="E72" s="4" t="s">
        <v>30</v>
      </c>
      <c r="F72" s="4" t="s">
        <v>26</v>
      </c>
      <c r="G72" s="4">
        <v>5.0</v>
      </c>
      <c r="H72" s="6">
        <v>336.02</v>
      </c>
      <c r="I72" s="4" t="s">
        <v>34</v>
      </c>
      <c r="J72" s="4" t="s">
        <v>38</v>
      </c>
      <c r="K72" s="6">
        <v>1680.1</v>
      </c>
    </row>
    <row r="73" ht="15.75" customHeight="1">
      <c r="A73" s="4">
        <v>120.0</v>
      </c>
      <c r="B73" s="4" t="s">
        <v>186</v>
      </c>
      <c r="C73" s="4" t="s">
        <v>187</v>
      </c>
      <c r="D73" s="5">
        <v>45821.0</v>
      </c>
      <c r="E73" s="4" t="s">
        <v>60</v>
      </c>
      <c r="F73" s="4" t="s">
        <v>20</v>
      </c>
      <c r="G73" s="4">
        <v>5.0</v>
      </c>
      <c r="H73" s="6">
        <v>300.0</v>
      </c>
      <c r="I73" s="4" t="s">
        <v>63</v>
      </c>
      <c r="J73" s="4" t="s">
        <v>16</v>
      </c>
      <c r="K73" s="6">
        <f>H73*G73</f>
        <v>1500</v>
      </c>
    </row>
    <row r="74" ht="15.75" customHeight="1">
      <c r="A74" s="4">
        <v>153.0</v>
      </c>
      <c r="B74" s="4" t="s">
        <v>188</v>
      </c>
      <c r="C74" s="4" t="s">
        <v>189</v>
      </c>
      <c r="D74" s="5">
        <v>45854.0</v>
      </c>
      <c r="E74" s="4" t="s">
        <v>60</v>
      </c>
      <c r="F74" s="4" t="s">
        <v>14</v>
      </c>
      <c r="G74" s="4">
        <v>4.0</v>
      </c>
      <c r="H74" s="6">
        <v>278.9</v>
      </c>
      <c r="I74" s="4" t="s">
        <v>15</v>
      </c>
      <c r="J74" s="4" t="s">
        <v>22</v>
      </c>
      <c r="K74" s="6">
        <v>1115.6</v>
      </c>
    </row>
    <row r="75" ht="15.75" customHeight="1">
      <c r="A75" s="4">
        <v>157.0</v>
      </c>
      <c r="B75" s="4" t="s">
        <v>190</v>
      </c>
      <c r="C75" s="4" t="s">
        <v>191</v>
      </c>
      <c r="D75" s="5">
        <v>45967.0</v>
      </c>
      <c r="E75" s="4" t="s">
        <v>121</v>
      </c>
      <c r="F75" s="4" t="s">
        <v>73</v>
      </c>
      <c r="G75" s="4">
        <v>4.0</v>
      </c>
      <c r="H75" s="6">
        <v>275.1</v>
      </c>
      <c r="I75" s="4" t="s">
        <v>34</v>
      </c>
      <c r="J75" s="4" t="s">
        <v>22</v>
      </c>
      <c r="K75" s="6">
        <v>1100.4</v>
      </c>
    </row>
    <row r="76" ht="15.75" customHeight="1">
      <c r="A76" s="4">
        <v>132.0</v>
      </c>
      <c r="B76" s="4" t="s">
        <v>192</v>
      </c>
      <c r="C76" s="4" t="s">
        <v>193</v>
      </c>
      <c r="D76" s="5">
        <v>45749.0</v>
      </c>
      <c r="E76" s="4" t="s">
        <v>60</v>
      </c>
      <c r="F76" s="4" t="s">
        <v>20</v>
      </c>
      <c r="G76" s="4">
        <v>1.0</v>
      </c>
      <c r="H76" s="6">
        <v>266.7</v>
      </c>
      <c r="I76" s="4" t="s">
        <v>21</v>
      </c>
      <c r="J76" s="4" t="s">
        <v>27</v>
      </c>
      <c r="K76" s="6">
        <v>266.7</v>
      </c>
    </row>
    <row r="77" ht="15.75" customHeight="1">
      <c r="A77" s="4">
        <v>181.0</v>
      </c>
      <c r="B77" s="4" t="s">
        <v>194</v>
      </c>
      <c r="C77" s="4" t="s">
        <v>195</v>
      </c>
      <c r="D77" s="5">
        <v>45655.0</v>
      </c>
      <c r="E77" s="4" t="s">
        <v>19</v>
      </c>
      <c r="F77" s="4" t="s">
        <v>183</v>
      </c>
      <c r="G77" s="4">
        <v>1.0</v>
      </c>
      <c r="H77" s="6">
        <v>266.48</v>
      </c>
      <c r="I77" s="4" t="s">
        <v>15</v>
      </c>
      <c r="J77" s="4" t="s">
        <v>16</v>
      </c>
      <c r="K77" s="6">
        <v>266.48</v>
      </c>
    </row>
    <row r="78" ht="15.75" customHeight="1">
      <c r="A78" s="4">
        <v>118.0</v>
      </c>
      <c r="B78" s="4" t="s">
        <v>196</v>
      </c>
      <c r="C78" s="4" t="s">
        <v>197</v>
      </c>
      <c r="D78" s="5">
        <v>45808.0</v>
      </c>
      <c r="E78" s="4" t="s">
        <v>95</v>
      </c>
      <c r="F78" s="4" t="s">
        <v>42</v>
      </c>
      <c r="G78" s="4">
        <v>5.0</v>
      </c>
      <c r="H78" s="6">
        <v>247.82</v>
      </c>
      <c r="I78" s="4" t="s">
        <v>21</v>
      </c>
      <c r="J78" s="4" t="s">
        <v>22</v>
      </c>
      <c r="K78" s="6">
        <v>1239.1</v>
      </c>
    </row>
    <row r="79" ht="15.75" customHeight="1">
      <c r="A79" s="4">
        <v>160.0</v>
      </c>
      <c r="B79" s="4" t="s">
        <v>198</v>
      </c>
      <c r="C79" s="4" t="s">
        <v>199</v>
      </c>
      <c r="D79" s="5">
        <v>45660.0</v>
      </c>
      <c r="E79" s="4" t="s">
        <v>95</v>
      </c>
      <c r="F79" s="4" t="s">
        <v>42</v>
      </c>
      <c r="G79" s="4">
        <v>5.0</v>
      </c>
      <c r="H79" s="6">
        <v>242.52</v>
      </c>
      <c r="I79" s="4" t="s">
        <v>15</v>
      </c>
      <c r="J79" s="4" t="s">
        <v>38</v>
      </c>
      <c r="K79" s="6">
        <v>1212.6</v>
      </c>
    </row>
    <row r="80" ht="15.75" customHeight="1">
      <c r="A80" s="4">
        <v>163.0</v>
      </c>
      <c r="B80" s="4" t="s">
        <v>200</v>
      </c>
      <c r="C80" s="4" t="s">
        <v>201</v>
      </c>
      <c r="D80" s="5">
        <v>44931.0</v>
      </c>
      <c r="E80" s="4" t="s">
        <v>45</v>
      </c>
      <c r="F80" s="4" t="s">
        <v>20</v>
      </c>
      <c r="G80" s="4">
        <v>3.0</v>
      </c>
      <c r="H80" s="6">
        <v>235.26</v>
      </c>
      <c r="I80" s="4" t="s">
        <v>15</v>
      </c>
      <c r="J80" s="4" t="s">
        <v>46</v>
      </c>
      <c r="K80" s="6">
        <v>705.78</v>
      </c>
    </row>
    <row r="81" ht="15.75" customHeight="1">
      <c r="A81" s="4">
        <v>103.0</v>
      </c>
      <c r="B81" s="4" t="s">
        <v>202</v>
      </c>
      <c r="C81" s="4" t="s">
        <v>203</v>
      </c>
      <c r="D81" s="5">
        <v>45735.0</v>
      </c>
      <c r="E81" s="4" t="s">
        <v>95</v>
      </c>
      <c r="F81" s="4" t="s">
        <v>42</v>
      </c>
      <c r="G81" s="4">
        <v>5.0</v>
      </c>
      <c r="H81" s="6">
        <v>233.92</v>
      </c>
      <c r="I81" s="4" t="s">
        <v>21</v>
      </c>
      <c r="J81" s="4" t="s">
        <v>22</v>
      </c>
      <c r="K81" s="6">
        <v>1169.6</v>
      </c>
    </row>
    <row r="82" ht="15.75" customHeight="1">
      <c r="A82" s="4">
        <v>152.0</v>
      </c>
      <c r="B82" s="4" t="s">
        <v>204</v>
      </c>
      <c r="C82" s="4" t="s">
        <v>205</v>
      </c>
      <c r="D82" s="5">
        <v>45922.0</v>
      </c>
      <c r="E82" s="4" t="s">
        <v>37</v>
      </c>
      <c r="F82" s="4" t="s">
        <v>26</v>
      </c>
      <c r="G82" s="4">
        <v>3.0</v>
      </c>
      <c r="H82" s="6">
        <v>233.11</v>
      </c>
      <c r="I82" s="4" t="s">
        <v>21</v>
      </c>
      <c r="J82" s="4" t="s">
        <v>38</v>
      </c>
      <c r="K82" s="6">
        <v>699.33</v>
      </c>
    </row>
    <row r="83" ht="15.75" customHeight="1">
      <c r="A83" s="4">
        <v>161.0</v>
      </c>
      <c r="B83" s="4" t="s">
        <v>206</v>
      </c>
      <c r="C83" s="4" t="s">
        <v>207</v>
      </c>
      <c r="D83" s="5">
        <v>45641.0</v>
      </c>
      <c r="E83" s="4" t="s">
        <v>95</v>
      </c>
      <c r="F83" s="4" t="s">
        <v>42</v>
      </c>
      <c r="G83" s="4">
        <v>4.0</v>
      </c>
      <c r="H83" s="6">
        <v>209.32</v>
      </c>
      <c r="I83" s="4" t="s">
        <v>34</v>
      </c>
      <c r="J83" s="4" t="s">
        <v>46</v>
      </c>
      <c r="K83" s="6">
        <v>837.28</v>
      </c>
    </row>
    <row r="84" ht="15.75" customHeight="1">
      <c r="A84" s="4">
        <v>150.0</v>
      </c>
      <c r="B84" s="4" t="s">
        <v>208</v>
      </c>
      <c r="C84" s="4" t="s">
        <v>209</v>
      </c>
      <c r="D84" s="5">
        <v>45623.0</v>
      </c>
      <c r="E84" s="4" t="s">
        <v>60</v>
      </c>
      <c r="F84" s="4" t="s">
        <v>14</v>
      </c>
      <c r="G84" s="4">
        <v>1.0</v>
      </c>
      <c r="H84" s="6">
        <v>206.19</v>
      </c>
      <c r="I84" s="4" t="s">
        <v>63</v>
      </c>
      <c r="J84" s="4" t="s">
        <v>38</v>
      </c>
      <c r="K84" s="6">
        <v>206.19</v>
      </c>
    </row>
    <row r="85" ht="15.75" customHeight="1">
      <c r="A85" s="4">
        <v>174.0</v>
      </c>
      <c r="B85" s="4" t="s">
        <v>210</v>
      </c>
      <c r="C85" s="4" t="s">
        <v>211</v>
      </c>
      <c r="D85" s="5">
        <v>45920.0</v>
      </c>
      <c r="E85" s="4" t="s">
        <v>138</v>
      </c>
      <c r="F85" s="4" t="s">
        <v>20</v>
      </c>
      <c r="G85" s="4">
        <v>4.0</v>
      </c>
      <c r="H85" s="6">
        <v>187.48</v>
      </c>
      <c r="I85" s="4" t="s">
        <v>63</v>
      </c>
      <c r="J85" s="4" t="s">
        <v>38</v>
      </c>
      <c r="K85" s="6">
        <v>749.92</v>
      </c>
    </row>
    <row r="86" ht="15.75" customHeight="1">
      <c r="A86" s="4">
        <v>109.0</v>
      </c>
      <c r="B86" s="4" t="s">
        <v>212</v>
      </c>
      <c r="C86" s="4" t="s">
        <v>213</v>
      </c>
      <c r="D86" s="5">
        <v>45780.0</v>
      </c>
      <c r="E86" s="4" t="s">
        <v>110</v>
      </c>
      <c r="F86" s="4" t="s">
        <v>14</v>
      </c>
      <c r="G86" s="4">
        <v>5.0</v>
      </c>
      <c r="H86" s="6">
        <v>168.34</v>
      </c>
      <c r="I86" s="4" t="s">
        <v>63</v>
      </c>
      <c r="J86" s="4" t="s">
        <v>46</v>
      </c>
      <c r="K86" s="6">
        <v>841.7</v>
      </c>
    </row>
    <row r="87" ht="15.75" customHeight="1">
      <c r="A87" s="4">
        <v>159.0</v>
      </c>
      <c r="B87" s="4" t="s">
        <v>214</v>
      </c>
      <c r="C87" s="4" t="s">
        <v>215</v>
      </c>
      <c r="D87" s="5">
        <v>45866.0</v>
      </c>
      <c r="E87" s="4" t="s">
        <v>138</v>
      </c>
      <c r="F87" s="4" t="s">
        <v>26</v>
      </c>
      <c r="G87" s="4">
        <v>3.0</v>
      </c>
      <c r="H87" s="6">
        <v>163.16</v>
      </c>
      <c r="I87" s="4" t="s">
        <v>21</v>
      </c>
      <c r="J87" s="4" t="s">
        <v>46</v>
      </c>
      <c r="K87" s="6">
        <v>489.48</v>
      </c>
    </row>
    <row r="88" ht="15.75" customHeight="1">
      <c r="A88" s="4">
        <v>197.0</v>
      </c>
      <c r="B88" s="4" t="s">
        <v>216</v>
      </c>
      <c r="C88" s="4" t="s">
        <v>217</v>
      </c>
      <c r="D88" s="5">
        <v>45831.0</v>
      </c>
      <c r="E88" s="4" t="s">
        <v>30</v>
      </c>
      <c r="F88" s="4" t="s">
        <v>26</v>
      </c>
      <c r="G88" s="4">
        <v>1.0</v>
      </c>
      <c r="H88" s="6">
        <v>160.16</v>
      </c>
      <c r="I88" s="4" t="s">
        <v>21</v>
      </c>
      <c r="J88" s="4" t="s">
        <v>16</v>
      </c>
      <c r="K88" s="6">
        <v>160.16</v>
      </c>
    </row>
    <row r="89" ht="15.75" customHeight="1">
      <c r="A89" s="4">
        <v>162.0</v>
      </c>
      <c r="B89" s="4" t="s">
        <v>218</v>
      </c>
      <c r="C89" s="4" t="s">
        <v>219</v>
      </c>
      <c r="D89" s="5">
        <v>45796.0</v>
      </c>
      <c r="E89" s="4" t="s">
        <v>30</v>
      </c>
      <c r="F89" s="4" t="s">
        <v>26</v>
      </c>
      <c r="G89" s="4">
        <v>2.0</v>
      </c>
      <c r="H89" s="6">
        <v>155.76</v>
      </c>
      <c r="I89" s="4" t="s">
        <v>63</v>
      </c>
      <c r="J89" s="4" t="s">
        <v>38</v>
      </c>
      <c r="K89" s="6">
        <v>311.52</v>
      </c>
    </row>
    <row r="90" ht="15.75" customHeight="1">
      <c r="A90" s="4">
        <v>168.0</v>
      </c>
      <c r="B90" s="4" t="s">
        <v>220</v>
      </c>
      <c r="C90" s="4" t="s">
        <v>221</v>
      </c>
      <c r="D90" s="5">
        <v>45965.0</v>
      </c>
      <c r="E90" s="4" t="s">
        <v>79</v>
      </c>
      <c r="F90" s="4" t="s">
        <v>42</v>
      </c>
      <c r="G90" s="4">
        <v>2.0</v>
      </c>
      <c r="H90" s="6">
        <v>141.49</v>
      </c>
      <c r="I90" s="4" t="s">
        <v>21</v>
      </c>
      <c r="J90" s="4" t="s">
        <v>16</v>
      </c>
      <c r="K90" s="6">
        <v>282.98</v>
      </c>
    </row>
    <row r="91" ht="15.75" customHeight="1">
      <c r="A91" s="4">
        <v>105.0</v>
      </c>
      <c r="B91" s="4" t="s">
        <v>222</v>
      </c>
      <c r="C91" s="4" t="s">
        <v>223</v>
      </c>
      <c r="D91" s="5">
        <v>45616.0</v>
      </c>
      <c r="E91" s="4" t="s">
        <v>110</v>
      </c>
      <c r="F91" s="4" t="s">
        <v>14</v>
      </c>
      <c r="G91" s="4">
        <v>3.0</v>
      </c>
      <c r="H91" s="6">
        <v>122.06</v>
      </c>
      <c r="I91" s="4" t="s">
        <v>15</v>
      </c>
      <c r="J91" s="4" t="s">
        <v>16</v>
      </c>
      <c r="K91" s="6">
        <v>366.18</v>
      </c>
    </row>
    <row r="92" ht="15.75" customHeight="1">
      <c r="A92" s="4">
        <v>175.0</v>
      </c>
      <c r="B92" s="4" t="s">
        <v>224</v>
      </c>
      <c r="C92" s="4" t="s">
        <v>225</v>
      </c>
      <c r="D92" s="5">
        <v>45712.0</v>
      </c>
      <c r="E92" s="4" t="s">
        <v>103</v>
      </c>
      <c r="F92" s="4" t="s">
        <v>20</v>
      </c>
      <c r="G92" s="4">
        <v>1.0</v>
      </c>
      <c r="H92" s="6">
        <v>111.36</v>
      </c>
      <c r="I92" s="4" t="s">
        <v>63</v>
      </c>
      <c r="J92" s="4" t="s">
        <v>22</v>
      </c>
      <c r="K92" s="6">
        <v>111.36</v>
      </c>
    </row>
    <row r="93" ht="15.75" customHeight="1">
      <c r="A93" s="4">
        <v>175.0</v>
      </c>
      <c r="B93" s="7" t="s">
        <v>100</v>
      </c>
      <c r="C93" s="7" t="s">
        <v>100</v>
      </c>
      <c r="D93" s="5">
        <v>45712.0</v>
      </c>
      <c r="E93" s="4" t="s">
        <v>103</v>
      </c>
      <c r="F93" s="4" t="s">
        <v>20</v>
      </c>
      <c r="G93" s="4">
        <v>1.0</v>
      </c>
      <c r="H93" s="6">
        <v>111.36</v>
      </c>
      <c r="I93" s="4" t="s">
        <v>63</v>
      </c>
      <c r="J93" s="4" t="s">
        <v>22</v>
      </c>
      <c r="K93" s="6">
        <v>77.952</v>
      </c>
    </row>
    <row r="94" ht="15.75" customHeight="1">
      <c r="A94" s="4">
        <v>184.0</v>
      </c>
      <c r="B94" s="4" t="s">
        <v>226</v>
      </c>
      <c r="C94" s="4" t="s">
        <v>227</v>
      </c>
      <c r="D94" s="5">
        <v>45703.0</v>
      </c>
      <c r="E94" s="4" t="s">
        <v>92</v>
      </c>
      <c r="F94" s="7" t="s">
        <v>100</v>
      </c>
      <c r="G94" s="4">
        <v>4.0</v>
      </c>
      <c r="H94" s="6">
        <v>101.19</v>
      </c>
      <c r="I94" s="4" t="s">
        <v>34</v>
      </c>
      <c r="J94" s="4" t="s">
        <v>22</v>
      </c>
      <c r="K94" s="6">
        <v>404.76</v>
      </c>
    </row>
    <row r="95" ht="15.75" customHeight="1">
      <c r="A95" s="4">
        <v>177.0</v>
      </c>
      <c r="B95" s="4" t="s">
        <v>228</v>
      </c>
      <c r="C95" s="4" t="s">
        <v>229</v>
      </c>
      <c r="D95" s="5">
        <v>45866.0</v>
      </c>
      <c r="E95" s="4" t="s">
        <v>66</v>
      </c>
      <c r="F95" s="4" t="s">
        <v>20</v>
      </c>
      <c r="G95" s="4">
        <v>1.0</v>
      </c>
      <c r="H95" s="6">
        <v>69.48</v>
      </c>
      <c r="I95" s="4" t="s">
        <v>34</v>
      </c>
      <c r="J95" s="4" t="s">
        <v>38</v>
      </c>
      <c r="K95" s="6">
        <v>69.48</v>
      </c>
    </row>
    <row r="96" ht="15.75" customHeight="1">
      <c r="A96" s="4">
        <v>155.0</v>
      </c>
      <c r="B96" s="4" t="s">
        <v>230</v>
      </c>
      <c r="C96" s="4" t="s">
        <v>231</v>
      </c>
      <c r="D96" s="5">
        <v>45778.0</v>
      </c>
      <c r="E96" s="4" t="s">
        <v>72</v>
      </c>
      <c r="F96" s="4" t="s">
        <v>73</v>
      </c>
      <c r="G96" s="4">
        <v>1.0</v>
      </c>
      <c r="H96" s="6">
        <v>40.95</v>
      </c>
      <c r="I96" s="4" t="s">
        <v>21</v>
      </c>
      <c r="J96" s="4" t="s">
        <v>38</v>
      </c>
      <c r="K96" s="6">
        <v>40.95</v>
      </c>
    </row>
    <row r="97" ht="15.75" customHeight="1">
      <c r="A97" s="4">
        <v>100.0</v>
      </c>
      <c r="B97" s="4" t="s">
        <v>232</v>
      </c>
      <c r="C97" s="4" t="s">
        <v>233</v>
      </c>
      <c r="D97" s="5">
        <v>45618.0</v>
      </c>
      <c r="E97" s="4" t="s">
        <v>30</v>
      </c>
      <c r="F97" s="4" t="s">
        <v>26</v>
      </c>
      <c r="G97" s="4">
        <v>3.0</v>
      </c>
      <c r="H97" s="6">
        <v>38.0</v>
      </c>
      <c r="I97" s="4" t="s">
        <v>15</v>
      </c>
      <c r="J97" s="4" t="s">
        <v>46</v>
      </c>
      <c r="K97" s="6">
        <v>114.0</v>
      </c>
    </row>
    <row r="98" ht="15.75" customHeight="1">
      <c r="A98" s="4">
        <v>137.0</v>
      </c>
      <c r="B98" s="4" t="s">
        <v>234</v>
      </c>
      <c r="C98" s="4" t="s">
        <v>235</v>
      </c>
      <c r="D98" s="5">
        <v>45711.0</v>
      </c>
      <c r="E98" s="4" t="s">
        <v>25</v>
      </c>
      <c r="F98" s="4" t="s">
        <v>26</v>
      </c>
      <c r="G98" s="4">
        <v>3.0</v>
      </c>
      <c r="H98" s="6">
        <v>-100.0</v>
      </c>
      <c r="I98" s="4" t="s">
        <v>15</v>
      </c>
      <c r="J98" s="4" t="s">
        <v>27</v>
      </c>
      <c r="K98" s="6">
        <v>-300.0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3" t="s">
        <v>10</v>
      </c>
    </row>
    <row r="2">
      <c r="A2" s="4">
        <v>110.0</v>
      </c>
      <c r="B2" s="4" t="s">
        <v>11</v>
      </c>
      <c r="C2" s="4" t="s">
        <v>12</v>
      </c>
      <c r="D2" s="5">
        <v>45926.0</v>
      </c>
      <c r="E2" s="4" t="s">
        <v>13</v>
      </c>
      <c r="F2" s="4" t="s">
        <v>14</v>
      </c>
      <c r="G2" s="4">
        <v>5.0</v>
      </c>
      <c r="H2" s="6">
        <v>400.0</v>
      </c>
      <c r="I2" s="4" t="s">
        <v>15</v>
      </c>
      <c r="J2" s="4" t="s">
        <v>16</v>
      </c>
      <c r="K2" s="6">
        <f t="shared" ref="K2:K4" si="1">H2*G2</f>
        <v>2000</v>
      </c>
    </row>
    <row r="3">
      <c r="A3" s="4">
        <v>101.0</v>
      </c>
      <c r="B3" s="4" t="s">
        <v>17</v>
      </c>
      <c r="C3" s="4" t="s">
        <v>18</v>
      </c>
      <c r="D3" s="5">
        <v>45843.0</v>
      </c>
      <c r="E3" s="4" t="s">
        <v>19</v>
      </c>
      <c r="F3" s="4" t="s">
        <v>20</v>
      </c>
      <c r="G3" s="4">
        <v>2.0</v>
      </c>
      <c r="H3" s="6">
        <v>615.0</v>
      </c>
      <c r="I3" s="4" t="s">
        <v>21</v>
      </c>
      <c r="J3" s="4" t="s">
        <v>22</v>
      </c>
      <c r="K3" s="6">
        <f t="shared" si="1"/>
        <v>1230</v>
      </c>
    </row>
    <row r="4">
      <c r="A4" s="4">
        <v>196.0</v>
      </c>
      <c r="B4" s="4" t="s">
        <v>23</v>
      </c>
      <c r="C4" s="4" t="s">
        <v>24</v>
      </c>
      <c r="D4" s="5">
        <v>45649.0</v>
      </c>
      <c r="E4" s="4" t="s">
        <v>25</v>
      </c>
      <c r="F4" s="4" t="s">
        <v>26</v>
      </c>
      <c r="G4" s="4">
        <v>1.0</v>
      </c>
      <c r="H4" s="6">
        <v>615.0</v>
      </c>
      <c r="I4" s="4" t="s">
        <v>21</v>
      </c>
      <c r="J4" s="4" t="s">
        <v>27</v>
      </c>
      <c r="K4" s="6">
        <f t="shared" si="1"/>
        <v>615</v>
      </c>
    </row>
    <row r="5">
      <c r="A5" s="4">
        <v>117.0</v>
      </c>
      <c r="B5" s="4" t="s">
        <v>28</v>
      </c>
      <c r="C5" s="4" t="s">
        <v>29</v>
      </c>
      <c r="D5" s="5">
        <v>45700.0</v>
      </c>
      <c r="E5" s="4" t="s">
        <v>30</v>
      </c>
      <c r="F5" s="4" t="s">
        <v>31</v>
      </c>
      <c r="G5" s="4">
        <v>-2.0</v>
      </c>
      <c r="H5" s="6">
        <v>10000.0</v>
      </c>
      <c r="I5" s="4" t="s">
        <v>15</v>
      </c>
      <c r="J5" s="4" t="s">
        <v>22</v>
      </c>
      <c r="K5" s="6">
        <v>-20000.0</v>
      </c>
    </row>
    <row r="6">
      <c r="A6" s="4">
        <v>106.0</v>
      </c>
      <c r="B6" s="4" t="s">
        <v>32</v>
      </c>
      <c r="C6" s="4" t="s">
        <v>33</v>
      </c>
      <c r="D6" s="5">
        <v>45690.0</v>
      </c>
      <c r="E6" s="4" t="s">
        <v>30</v>
      </c>
      <c r="F6" s="4" t="s">
        <v>26</v>
      </c>
      <c r="G6" s="4">
        <v>1.0</v>
      </c>
      <c r="H6" s="6">
        <v>978.63</v>
      </c>
      <c r="I6" s="4" t="s">
        <v>34</v>
      </c>
      <c r="J6" s="4" t="s">
        <v>22</v>
      </c>
      <c r="K6" s="6">
        <f>H6*G6</f>
        <v>978.63</v>
      </c>
    </row>
    <row r="7">
      <c r="A7" s="4">
        <v>194.0</v>
      </c>
      <c r="B7" s="4" t="s">
        <v>35</v>
      </c>
      <c r="C7" s="4" t="s">
        <v>36</v>
      </c>
      <c r="D7" s="5">
        <v>45698.0</v>
      </c>
      <c r="E7" s="4" t="s">
        <v>37</v>
      </c>
      <c r="F7" s="4" t="s">
        <v>26</v>
      </c>
      <c r="G7" s="4">
        <v>5.0</v>
      </c>
      <c r="H7" s="6">
        <v>944.54</v>
      </c>
      <c r="I7" s="4" t="s">
        <v>15</v>
      </c>
      <c r="J7" s="4" t="s">
        <v>38</v>
      </c>
      <c r="K7" s="6">
        <v>4722.7</v>
      </c>
    </row>
    <row r="8">
      <c r="A8" s="4">
        <v>172.0</v>
      </c>
      <c r="B8" s="4" t="s">
        <v>39</v>
      </c>
      <c r="C8" s="4" t="s">
        <v>40</v>
      </c>
      <c r="D8" s="5">
        <v>45614.0</v>
      </c>
      <c r="E8" s="4" t="s">
        <v>41</v>
      </c>
      <c r="F8" s="4" t="s">
        <v>42</v>
      </c>
      <c r="G8" s="4">
        <v>2.0</v>
      </c>
      <c r="H8" s="6">
        <v>942.76</v>
      </c>
      <c r="I8" s="4" t="s">
        <v>34</v>
      </c>
      <c r="J8" s="4" t="s">
        <v>38</v>
      </c>
      <c r="K8" s="6">
        <v>1885.52</v>
      </c>
    </row>
    <row r="9">
      <c r="A9" s="4">
        <v>158.0</v>
      </c>
      <c r="B9" s="4" t="s">
        <v>43</v>
      </c>
      <c r="C9" s="4" t="s">
        <v>44</v>
      </c>
      <c r="D9" s="5">
        <v>45752.0</v>
      </c>
      <c r="E9" s="4" t="s">
        <v>45</v>
      </c>
      <c r="F9" s="4" t="s">
        <v>20</v>
      </c>
      <c r="G9" s="4">
        <v>1.0</v>
      </c>
      <c r="H9" s="6">
        <v>933.58</v>
      </c>
      <c r="I9" s="4" t="s">
        <v>15</v>
      </c>
      <c r="J9" s="4" t="s">
        <v>46</v>
      </c>
      <c r="K9" s="6">
        <v>933.58</v>
      </c>
    </row>
    <row r="10">
      <c r="A10" s="4">
        <v>190.0</v>
      </c>
      <c r="B10" s="4" t="s">
        <v>47</v>
      </c>
      <c r="C10" s="4" t="s">
        <v>48</v>
      </c>
      <c r="D10" s="5">
        <v>45837.0</v>
      </c>
      <c r="E10" s="4" t="s">
        <v>25</v>
      </c>
      <c r="F10" s="4" t="s">
        <v>26</v>
      </c>
      <c r="G10" s="4">
        <v>1.0</v>
      </c>
      <c r="H10" s="6">
        <v>920.37</v>
      </c>
      <c r="I10" s="4" t="s">
        <v>34</v>
      </c>
      <c r="J10" s="4" t="s">
        <v>22</v>
      </c>
      <c r="K10" s="6">
        <v>920.37</v>
      </c>
    </row>
    <row r="11">
      <c r="A11" s="4">
        <v>128.0</v>
      </c>
      <c r="B11" s="4" t="s">
        <v>49</v>
      </c>
      <c r="C11" s="4" t="s">
        <v>50</v>
      </c>
      <c r="D11" s="5">
        <v>45606.0</v>
      </c>
      <c r="E11" s="4" t="s">
        <v>37</v>
      </c>
      <c r="F11" s="4" t="s">
        <v>20</v>
      </c>
      <c r="G11" s="4">
        <v>3.0</v>
      </c>
      <c r="H11" s="6">
        <v>898.69</v>
      </c>
      <c r="I11" s="4" t="s">
        <v>34</v>
      </c>
      <c r="J11" s="4" t="s">
        <v>27</v>
      </c>
      <c r="K11" s="6">
        <v>2696.07</v>
      </c>
    </row>
    <row r="12">
      <c r="A12" s="4">
        <v>149.0</v>
      </c>
      <c r="B12" s="4" t="s">
        <v>51</v>
      </c>
      <c r="C12" s="4" t="s">
        <v>52</v>
      </c>
      <c r="D12" s="5">
        <v>45837.0</v>
      </c>
      <c r="E12" s="4" t="s">
        <v>41</v>
      </c>
      <c r="F12" s="4" t="s">
        <v>42</v>
      </c>
      <c r="G12" s="4">
        <v>5.0</v>
      </c>
      <c r="H12" s="6">
        <v>896.38</v>
      </c>
      <c r="I12" s="4" t="s">
        <v>34</v>
      </c>
      <c r="J12" s="4" t="s">
        <v>16</v>
      </c>
      <c r="K12" s="6">
        <v>4481.9</v>
      </c>
    </row>
    <row r="13">
      <c r="A13" s="4">
        <v>187.0</v>
      </c>
      <c r="B13" s="4" t="s">
        <v>53</v>
      </c>
      <c r="C13" s="4" t="s">
        <v>54</v>
      </c>
      <c r="D13" s="5">
        <v>45615.0</v>
      </c>
      <c r="E13" s="4" t="s">
        <v>19</v>
      </c>
      <c r="F13" s="4" t="s">
        <v>20</v>
      </c>
      <c r="G13" s="4">
        <v>3.0</v>
      </c>
      <c r="H13" s="6">
        <v>882.96</v>
      </c>
      <c r="I13" s="4" t="s">
        <v>34</v>
      </c>
      <c r="J13" s="4" t="s">
        <v>38</v>
      </c>
      <c r="K13" s="6">
        <v>2648.88</v>
      </c>
    </row>
    <row r="14">
      <c r="A14" s="4">
        <v>191.0</v>
      </c>
      <c r="B14" s="4" t="s">
        <v>55</v>
      </c>
      <c r="C14" s="4" t="s">
        <v>56</v>
      </c>
      <c r="D14" s="5">
        <v>45856.0</v>
      </c>
      <c r="E14" s="4" t="s">
        <v>57</v>
      </c>
      <c r="F14" s="4" t="s">
        <v>42</v>
      </c>
      <c r="G14" s="4">
        <v>2.0</v>
      </c>
      <c r="H14" s="6">
        <v>881.02</v>
      </c>
      <c r="I14" s="4" t="s">
        <v>15</v>
      </c>
      <c r="J14" s="4" t="s">
        <v>38</v>
      </c>
      <c r="K14" s="6">
        <v>1762.04</v>
      </c>
    </row>
    <row r="15">
      <c r="A15" s="4">
        <v>179.0</v>
      </c>
      <c r="B15" s="4" t="s">
        <v>58</v>
      </c>
      <c r="C15" s="4" t="s">
        <v>59</v>
      </c>
      <c r="D15" s="5">
        <v>45903.0</v>
      </c>
      <c r="E15" s="4" t="s">
        <v>60</v>
      </c>
      <c r="F15" s="4" t="s">
        <v>14</v>
      </c>
      <c r="G15" s="4">
        <v>3.0</v>
      </c>
      <c r="H15" s="6">
        <v>868.67</v>
      </c>
      <c r="I15" s="4" t="s">
        <v>21</v>
      </c>
      <c r="J15" s="4" t="s">
        <v>27</v>
      </c>
      <c r="K15" s="6">
        <v>2606.01</v>
      </c>
    </row>
    <row r="16">
      <c r="A16" s="4">
        <v>111.0</v>
      </c>
      <c r="B16" s="4" t="s">
        <v>61</v>
      </c>
      <c r="C16" s="4" t="s">
        <v>62</v>
      </c>
      <c r="D16" s="5">
        <v>45952.0</v>
      </c>
      <c r="E16" s="4" t="s">
        <v>41</v>
      </c>
      <c r="F16" s="4" t="s">
        <v>42</v>
      </c>
      <c r="G16" s="4">
        <v>2.0</v>
      </c>
      <c r="H16" s="6">
        <v>865.77</v>
      </c>
      <c r="I16" s="4" t="s">
        <v>63</v>
      </c>
      <c r="J16" s="4" t="s">
        <v>38</v>
      </c>
      <c r="K16" s="6">
        <v>1731.54</v>
      </c>
    </row>
    <row r="17">
      <c r="A17" s="4">
        <v>145.0</v>
      </c>
      <c r="B17" s="4" t="s">
        <v>64</v>
      </c>
      <c r="C17" s="4" t="s">
        <v>65</v>
      </c>
      <c r="D17" s="5">
        <v>45047.0</v>
      </c>
      <c r="E17" s="4" t="s">
        <v>66</v>
      </c>
      <c r="F17" s="4" t="s">
        <v>20</v>
      </c>
      <c r="G17" s="4">
        <v>2.0</v>
      </c>
      <c r="H17" s="6">
        <v>860.99</v>
      </c>
      <c r="I17" s="4" t="s">
        <v>34</v>
      </c>
      <c r="J17" s="4" t="s">
        <v>38</v>
      </c>
      <c r="K17" s="6">
        <v>1721.98</v>
      </c>
    </row>
    <row r="18">
      <c r="A18" s="4">
        <v>144.0</v>
      </c>
      <c r="B18" s="4" t="s">
        <v>67</v>
      </c>
      <c r="C18" s="4" t="s">
        <v>68</v>
      </c>
      <c r="D18" s="5">
        <v>45684.0</v>
      </c>
      <c r="E18" s="4" t="s">
        <v>69</v>
      </c>
      <c r="F18" s="4" t="s">
        <v>14</v>
      </c>
      <c r="G18" s="4">
        <v>5.0</v>
      </c>
      <c r="H18" s="6">
        <v>849.07</v>
      </c>
      <c r="I18" s="4" t="s">
        <v>34</v>
      </c>
      <c r="J18" s="4" t="s">
        <v>22</v>
      </c>
      <c r="K18" s="6">
        <v>4245.35</v>
      </c>
    </row>
    <row r="19">
      <c r="A19" s="4">
        <v>126.0</v>
      </c>
      <c r="B19" s="4" t="s">
        <v>70</v>
      </c>
      <c r="C19" s="4" t="s">
        <v>71</v>
      </c>
      <c r="D19" s="5">
        <v>45795.0</v>
      </c>
      <c r="E19" s="4" t="s">
        <v>72</v>
      </c>
      <c r="F19" s="4" t="s">
        <v>73</v>
      </c>
      <c r="G19" s="4">
        <v>4.0</v>
      </c>
      <c r="H19" s="6">
        <v>836.8</v>
      </c>
      <c r="I19" s="4" t="s">
        <v>34</v>
      </c>
      <c r="J19" s="4" t="s">
        <v>16</v>
      </c>
      <c r="K19" s="6">
        <v>3347.2</v>
      </c>
    </row>
    <row r="20">
      <c r="A20" s="4">
        <v>143.0</v>
      </c>
      <c r="B20" s="4" t="s">
        <v>74</v>
      </c>
      <c r="C20" s="4" t="s">
        <v>75</v>
      </c>
      <c r="D20" s="5">
        <v>45849.0</v>
      </c>
      <c r="E20" s="4" t="s">
        <v>76</v>
      </c>
      <c r="F20" s="4" t="s">
        <v>73</v>
      </c>
      <c r="G20" s="4">
        <v>5.0</v>
      </c>
      <c r="H20" s="6">
        <v>826.77</v>
      </c>
      <c r="I20" s="4" t="s">
        <v>34</v>
      </c>
      <c r="J20" s="4" t="s">
        <v>16</v>
      </c>
      <c r="K20" s="6">
        <v>4133.85</v>
      </c>
    </row>
    <row r="21">
      <c r="A21" s="4">
        <v>195.0</v>
      </c>
      <c r="B21" s="4" t="s">
        <v>77</v>
      </c>
      <c r="C21" s="4" t="s">
        <v>78</v>
      </c>
      <c r="D21" s="5">
        <v>45827.0</v>
      </c>
      <c r="E21" s="4" t="s">
        <v>79</v>
      </c>
      <c r="F21" s="4" t="s">
        <v>42</v>
      </c>
      <c r="G21" s="4">
        <v>5.0</v>
      </c>
      <c r="H21" s="6">
        <v>817.46</v>
      </c>
      <c r="I21" s="4" t="s">
        <v>15</v>
      </c>
      <c r="J21" s="4" t="s">
        <v>38</v>
      </c>
      <c r="K21" s="6">
        <v>4087.3</v>
      </c>
    </row>
    <row r="22">
      <c r="A22" s="4">
        <v>189.0</v>
      </c>
      <c r="B22" s="4" t="s">
        <v>80</v>
      </c>
      <c r="C22" s="4" t="s">
        <v>81</v>
      </c>
      <c r="D22" s="5">
        <v>45883.0</v>
      </c>
      <c r="E22" s="4" t="s">
        <v>37</v>
      </c>
      <c r="F22" s="4" t="s">
        <v>26</v>
      </c>
      <c r="G22" s="4">
        <v>1.0</v>
      </c>
      <c r="H22" s="6">
        <v>814.68</v>
      </c>
      <c r="I22" s="4" t="s">
        <v>15</v>
      </c>
      <c r="J22" s="4" t="s">
        <v>38</v>
      </c>
      <c r="K22" s="6">
        <v>814.68</v>
      </c>
    </row>
    <row r="23">
      <c r="A23" s="4">
        <v>115.0</v>
      </c>
      <c r="B23" s="4" t="s">
        <v>82</v>
      </c>
      <c r="C23" s="4" t="s">
        <v>83</v>
      </c>
      <c r="D23" s="5">
        <v>45667.0</v>
      </c>
      <c r="E23" s="4" t="s">
        <v>57</v>
      </c>
      <c r="F23" s="4" t="s">
        <v>42</v>
      </c>
      <c r="G23" s="4">
        <v>2.0</v>
      </c>
      <c r="H23" s="6">
        <v>796.84</v>
      </c>
      <c r="I23" s="4" t="s">
        <v>15</v>
      </c>
      <c r="J23" s="4" t="s">
        <v>38</v>
      </c>
      <c r="K23" s="6">
        <v>1115.576</v>
      </c>
    </row>
    <row r="24">
      <c r="A24" s="4">
        <v>154.0</v>
      </c>
      <c r="B24" s="4" t="s">
        <v>84</v>
      </c>
      <c r="C24" s="4" t="s">
        <v>85</v>
      </c>
      <c r="D24" s="5">
        <v>45709.0</v>
      </c>
      <c r="E24" s="4" t="s">
        <v>30</v>
      </c>
      <c r="F24" s="4" t="s">
        <v>26</v>
      </c>
      <c r="G24" s="4">
        <v>5.0</v>
      </c>
      <c r="H24" s="6">
        <v>789.64</v>
      </c>
      <c r="I24" s="4" t="s">
        <v>15</v>
      </c>
      <c r="J24" s="4" t="s">
        <v>16</v>
      </c>
      <c r="K24" s="6">
        <v>3948.2</v>
      </c>
    </row>
    <row r="25">
      <c r="A25" s="4">
        <v>125.0</v>
      </c>
      <c r="B25" s="4" t="s">
        <v>86</v>
      </c>
      <c r="C25" s="4" t="s">
        <v>87</v>
      </c>
      <c r="D25" s="5">
        <v>45697.0</v>
      </c>
      <c r="E25" s="4" t="s">
        <v>41</v>
      </c>
      <c r="F25" s="4" t="s">
        <v>42</v>
      </c>
      <c r="G25" s="4">
        <v>4.0</v>
      </c>
      <c r="H25" s="6">
        <v>765.69</v>
      </c>
      <c r="I25" s="4" t="s">
        <v>21</v>
      </c>
      <c r="J25" s="4" t="s">
        <v>46</v>
      </c>
      <c r="K25" s="6">
        <v>3062.76</v>
      </c>
    </row>
    <row r="26">
      <c r="A26" s="4">
        <v>112.0</v>
      </c>
      <c r="B26" s="4" t="s">
        <v>88</v>
      </c>
      <c r="C26" s="4" t="s">
        <v>89</v>
      </c>
      <c r="D26" s="5">
        <v>45718.0</v>
      </c>
      <c r="E26" s="4" t="s">
        <v>72</v>
      </c>
      <c r="F26" s="4" t="s">
        <v>73</v>
      </c>
      <c r="G26" s="4">
        <v>4.0</v>
      </c>
      <c r="H26" s="6">
        <v>752.13</v>
      </c>
      <c r="I26" s="4" t="s">
        <v>34</v>
      </c>
      <c r="J26" s="4" t="s">
        <v>27</v>
      </c>
      <c r="K26" s="6">
        <v>3008.52</v>
      </c>
    </row>
    <row r="27">
      <c r="A27" s="4">
        <v>170.0</v>
      </c>
      <c r="B27" s="4" t="s">
        <v>90</v>
      </c>
      <c r="C27" s="4" t="s">
        <v>91</v>
      </c>
      <c r="D27" s="5">
        <v>45933.0</v>
      </c>
      <c r="E27" s="4" t="s">
        <v>92</v>
      </c>
      <c r="F27" s="4" t="s">
        <v>73</v>
      </c>
      <c r="G27" s="4">
        <v>5.0</v>
      </c>
      <c r="H27" s="6">
        <v>741.63</v>
      </c>
      <c r="I27" s="4" t="s">
        <v>34</v>
      </c>
      <c r="J27" s="4" t="s">
        <v>22</v>
      </c>
      <c r="K27" s="6">
        <v>3708.15</v>
      </c>
    </row>
    <row r="28">
      <c r="A28" s="4">
        <v>129.0</v>
      </c>
      <c r="B28" s="4" t="s">
        <v>93</v>
      </c>
      <c r="C28" s="4" t="s">
        <v>94</v>
      </c>
      <c r="D28" s="5">
        <v>45830.0</v>
      </c>
      <c r="E28" s="4" t="s">
        <v>95</v>
      </c>
      <c r="F28" s="4" t="s">
        <v>42</v>
      </c>
      <c r="G28" s="4">
        <v>4.0</v>
      </c>
      <c r="H28" s="6">
        <v>736.71</v>
      </c>
      <c r="I28" s="4" t="s">
        <v>34</v>
      </c>
      <c r="J28" s="4" t="s">
        <v>38</v>
      </c>
      <c r="K28" s="6">
        <v>2946.84</v>
      </c>
    </row>
    <row r="29">
      <c r="A29" s="4">
        <v>185.0</v>
      </c>
      <c r="B29" s="4" t="s">
        <v>96</v>
      </c>
      <c r="C29" s="4" t="s">
        <v>97</v>
      </c>
      <c r="D29" s="5">
        <v>45883.0</v>
      </c>
      <c r="E29" s="4" t="s">
        <v>69</v>
      </c>
      <c r="F29" s="4" t="s">
        <v>14</v>
      </c>
      <c r="G29" s="4">
        <v>2.0</v>
      </c>
      <c r="H29" s="6">
        <v>730.92</v>
      </c>
      <c r="I29" s="4" t="s">
        <v>15</v>
      </c>
      <c r="J29" s="4" t="s">
        <v>16</v>
      </c>
      <c r="K29" s="6">
        <v>1023.288</v>
      </c>
    </row>
    <row r="30">
      <c r="A30" s="4">
        <v>146.0</v>
      </c>
      <c r="B30" s="4" t="s">
        <v>98</v>
      </c>
      <c r="C30" s="4" t="s">
        <v>99</v>
      </c>
      <c r="D30" s="5">
        <v>45847.0</v>
      </c>
      <c r="E30" s="4" t="s">
        <v>13</v>
      </c>
      <c r="F30" s="4" t="s">
        <v>31</v>
      </c>
      <c r="G30" s="4">
        <v>2.0</v>
      </c>
      <c r="H30" s="6">
        <v>705.42</v>
      </c>
      <c r="I30" s="4" t="s">
        <v>34</v>
      </c>
      <c r="J30" s="4" t="s">
        <v>22</v>
      </c>
      <c r="K30" s="6">
        <v>1410.84</v>
      </c>
    </row>
    <row r="31">
      <c r="A31" s="4">
        <v>146.0</v>
      </c>
      <c r="B31" s="7" t="s">
        <v>100</v>
      </c>
      <c r="C31" s="7" t="s">
        <v>100</v>
      </c>
      <c r="D31" s="5">
        <v>45847.0</v>
      </c>
      <c r="E31" s="4" t="s">
        <v>13</v>
      </c>
      <c r="F31" s="4" t="s">
        <v>31</v>
      </c>
      <c r="G31" s="4">
        <v>2.0</v>
      </c>
      <c r="H31" s="6">
        <v>705.42</v>
      </c>
      <c r="I31" s="4" t="s">
        <v>34</v>
      </c>
      <c r="J31" s="4" t="s">
        <v>22</v>
      </c>
      <c r="K31" s="6">
        <v>1410.84</v>
      </c>
    </row>
    <row r="32">
      <c r="A32" s="4">
        <v>136.0</v>
      </c>
      <c r="B32" s="4" t="s">
        <v>101</v>
      </c>
      <c r="C32" s="4" t="s">
        <v>102</v>
      </c>
      <c r="D32" s="5">
        <v>45820.0</v>
      </c>
      <c r="E32" s="4" t="s">
        <v>103</v>
      </c>
      <c r="F32" s="7" t="s">
        <v>100</v>
      </c>
      <c r="G32" s="4">
        <v>1.0</v>
      </c>
      <c r="H32" s="6">
        <v>696.71</v>
      </c>
      <c r="I32" s="4" t="s">
        <v>63</v>
      </c>
      <c r="J32" s="4" t="s">
        <v>27</v>
      </c>
      <c r="K32" s="6">
        <v>696.71</v>
      </c>
    </row>
    <row r="33">
      <c r="A33" s="4">
        <v>171.0</v>
      </c>
      <c r="B33" s="4" t="s">
        <v>104</v>
      </c>
      <c r="C33" s="4" t="s">
        <v>105</v>
      </c>
      <c r="D33" s="5">
        <v>45632.0</v>
      </c>
      <c r="E33" s="4" t="s">
        <v>72</v>
      </c>
      <c r="F33" s="4" t="s">
        <v>73</v>
      </c>
      <c r="G33" s="4">
        <v>3.0</v>
      </c>
      <c r="H33" s="6">
        <v>688.68</v>
      </c>
      <c r="I33" s="4" t="s">
        <v>21</v>
      </c>
      <c r="J33" s="4" t="s">
        <v>22</v>
      </c>
      <c r="K33" s="6">
        <v>2066.04</v>
      </c>
    </row>
    <row r="34">
      <c r="A34" s="4">
        <v>139.0</v>
      </c>
      <c r="B34" s="4" t="s">
        <v>106</v>
      </c>
      <c r="C34" s="4" t="s">
        <v>107</v>
      </c>
      <c r="D34" s="5">
        <v>45697.0</v>
      </c>
      <c r="E34" s="4" t="s">
        <v>19</v>
      </c>
      <c r="F34" s="4" t="s">
        <v>20</v>
      </c>
      <c r="G34" s="4">
        <v>2.0</v>
      </c>
      <c r="H34" s="6">
        <v>681.38</v>
      </c>
      <c r="I34" s="4" t="s">
        <v>63</v>
      </c>
      <c r="J34" s="4" t="s">
        <v>16</v>
      </c>
      <c r="K34" s="6">
        <v>1362.76</v>
      </c>
    </row>
    <row r="35">
      <c r="A35" s="4">
        <v>148.0</v>
      </c>
      <c r="B35" s="4" t="s">
        <v>108</v>
      </c>
      <c r="C35" s="4" t="s">
        <v>109</v>
      </c>
      <c r="D35" s="5">
        <v>45729.0</v>
      </c>
      <c r="E35" s="4" t="s">
        <v>110</v>
      </c>
      <c r="F35" s="4" t="s">
        <v>14</v>
      </c>
      <c r="G35" s="4">
        <v>1.0</v>
      </c>
      <c r="H35" s="6">
        <v>660.98</v>
      </c>
      <c r="I35" s="4" t="s">
        <v>15</v>
      </c>
      <c r="J35" s="4" t="s">
        <v>38</v>
      </c>
      <c r="K35" s="6">
        <v>660.98</v>
      </c>
    </row>
    <row r="36">
      <c r="A36" s="4">
        <v>142.0</v>
      </c>
      <c r="B36" s="4" t="s">
        <v>111</v>
      </c>
      <c r="C36" s="4" t="s">
        <v>112</v>
      </c>
      <c r="D36" s="5">
        <v>45960.0</v>
      </c>
      <c r="E36" s="4" t="s">
        <v>72</v>
      </c>
      <c r="F36" s="4" t="s">
        <v>73</v>
      </c>
      <c r="G36" s="4">
        <v>5.0</v>
      </c>
      <c r="H36" s="6">
        <v>645.26</v>
      </c>
      <c r="I36" s="4" t="s">
        <v>63</v>
      </c>
      <c r="J36" s="4" t="s">
        <v>46</v>
      </c>
      <c r="K36" s="6">
        <v>2258.41</v>
      </c>
    </row>
    <row r="37">
      <c r="A37" s="4">
        <v>142.0</v>
      </c>
      <c r="B37" s="7" t="s">
        <v>100</v>
      </c>
      <c r="C37" s="7" t="s">
        <v>100</v>
      </c>
      <c r="D37" s="5">
        <v>45960.0</v>
      </c>
      <c r="E37" s="4" t="s">
        <v>72</v>
      </c>
      <c r="F37" s="4" t="s">
        <v>73</v>
      </c>
      <c r="G37" s="4">
        <v>5.0</v>
      </c>
      <c r="H37" s="6">
        <v>645.26</v>
      </c>
      <c r="I37" s="4" t="s">
        <v>63</v>
      </c>
      <c r="J37" s="4" t="s">
        <v>46</v>
      </c>
      <c r="K37" s="6">
        <v>3226.3</v>
      </c>
    </row>
    <row r="38">
      <c r="A38" s="4">
        <v>131.0</v>
      </c>
      <c r="B38" s="4" t="s">
        <v>113</v>
      </c>
      <c r="C38" s="4" t="s">
        <v>114</v>
      </c>
      <c r="D38" s="5">
        <v>45819.0</v>
      </c>
      <c r="E38" s="4" t="s">
        <v>37</v>
      </c>
      <c r="F38" s="4" t="s">
        <v>26</v>
      </c>
      <c r="G38" s="4">
        <v>5.0</v>
      </c>
      <c r="H38" s="6">
        <v>616.63</v>
      </c>
      <c r="I38" s="4" t="s">
        <v>21</v>
      </c>
      <c r="J38" s="4" t="s">
        <v>46</v>
      </c>
      <c r="K38" s="6">
        <v>3083.15</v>
      </c>
    </row>
    <row r="39">
      <c r="A39" s="4">
        <v>123.0</v>
      </c>
      <c r="B39" s="4" t="s">
        <v>115</v>
      </c>
      <c r="C39" s="4" t="s">
        <v>116</v>
      </c>
      <c r="D39" s="5">
        <v>45936.0</v>
      </c>
      <c r="E39" s="4" t="s">
        <v>25</v>
      </c>
      <c r="F39" s="4" t="s">
        <v>31</v>
      </c>
      <c r="G39" s="4">
        <v>3.0</v>
      </c>
      <c r="H39" s="6">
        <v>615.91</v>
      </c>
      <c r="I39" s="4" t="s">
        <v>15</v>
      </c>
      <c r="J39" s="4" t="s">
        <v>16</v>
      </c>
      <c r="K39" s="6">
        <v>1847.73</v>
      </c>
    </row>
    <row r="40">
      <c r="A40" s="4">
        <v>108.0</v>
      </c>
      <c r="B40" s="4" t="s">
        <v>117</v>
      </c>
      <c r="C40" s="4" t="s">
        <v>118</v>
      </c>
      <c r="D40" s="5">
        <v>45953.0</v>
      </c>
      <c r="E40" s="4" t="s">
        <v>95</v>
      </c>
      <c r="F40" s="4" t="s">
        <v>42</v>
      </c>
      <c r="G40" s="4">
        <v>1.0</v>
      </c>
      <c r="H40" s="6">
        <v>600.29</v>
      </c>
      <c r="I40" s="4" t="s">
        <v>15</v>
      </c>
      <c r="J40" s="4" t="s">
        <v>22</v>
      </c>
      <c r="K40" s="6">
        <v>600.29</v>
      </c>
    </row>
    <row r="41">
      <c r="A41" s="4">
        <v>147.0</v>
      </c>
      <c r="B41" s="4" t="s">
        <v>119</v>
      </c>
      <c r="C41" s="4" t="s">
        <v>120</v>
      </c>
      <c r="D41" s="5">
        <v>45778.0</v>
      </c>
      <c r="E41" s="4" t="s">
        <v>121</v>
      </c>
      <c r="F41" s="4" t="s">
        <v>73</v>
      </c>
      <c r="G41" s="4">
        <v>4.0</v>
      </c>
      <c r="H41" s="6">
        <v>596.15</v>
      </c>
      <c r="I41" s="4" t="s">
        <v>15</v>
      </c>
      <c r="J41" s="4" t="s">
        <v>46</v>
      </c>
      <c r="K41" s="6">
        <v>2384.6</v>
      </c>
    </row>
    <row r="42">
      <c r="A42" s="4">
        <v>167.0</v>
      </c>
      <c r="B42" s="4" t="s">
        <v>122</v>
      </c>
      <c r="C42" s="4" t="s">
        <v>123</v>
      </c>
      <c r="D42" s="5">
        <v>45876.0</v>
      </c>
      <c r="E42" s="4" t="s">
        <v>13</v>
      </c>
      <c r="F42" s="4" t="s">
        <v>14</v>
      </c>
      <c r="G42" s="4">
        <v>1.0</v>
      </c>
      <c r="H42" s="6">
        <v>593.93</v>
      </c>
      <c r="I42" s="4" t="s">
        <v>15</v>
      </c>
      <c r="J42" s="4" t="s">
        <v>22</v>
      </c>
      <c r="K42" s="6">
        <f>H42*G42</f>
        <v>593.93</v>
      </c>
    </row>
    <row r="43">
      <c r="A43" s="4">
        <v>134.0</v>
      </c>
      <c r="B43" s="4" t="s">
        <v>124</v>
      </c>
      <c r="C43" s="4" t="s">
        <v>125</v>
      </c>
      <c r="D43" s="5">
        <v>45934.0</v>
      </c>
      <c r="E43" s="4" t="s">
        <v>76</v>
      </c>
      <c r="F43" s="4" t="s">
        <v>73</v>
      </c>
      <c r="G43" s="4">
        <v>-5.0</v>
      </c>
      <c r="H43" s="6">
        <v>591.53</v>
      </c>
      <c r="I43" s="4" t="s">
        <v>21</v>
      </c>
      <c r="J43" s="4" t="s">
        <v>46</v>
      </c>
      <c r="K43" s="6">
        <v>-2957.65</v>
      </c>
    </row>
    <row r="44">
      <c r="A44" s="4">
        <v>140.0</v>
      </c>
      <c r="B44" s="4" t="s">
        <v>126</v>
      </c>
      <c r="C44" s="4" t="s">
        <v>127</v>
      </c>
      <c r="D44" s="5">
        <v>45714.0</v>
      </c>
      <c r="E44" s="4" t="s">
        <v>57</v>
      </c>
      <c r="F44" s="4" t="s">
        <v>42</v>
      </c>
      <c r="G44" s="4">
        <v>4.0</v>
      </c>
      <c r="H44" s="6">
        <v>588.98</v>
      </c>
      <c r="I44" s="4" t="s">
        <v>63</v>
      </c>
      <c r="J44" s="4" t="s">
        <v>38</v>
      </c>
      <c r="K44" s="6">
        <v>2355.92</v>
      </c>
    </row>
    <row r="45">
      <c r="A45" s="4">
        <v>107.0</v>
      </c>
      <c r="B45" s="4" t="s">
        <v>128</v>
      </c>
      <c r="C45" s="4" t="s">
        <v>129</v>
      </c>
      <c r="D45" s="5">
        <v>45660.0</v>
      </c>
      <c r="E45" s="4" t="s">
        <v>79</v>
      </c>
      <c r="F45" s="4" t="s">
        <v>42</v>
      </c>
      <c r="G45" s="4">
        <v>5.0</v>
      </c>
      <c r="H45" s="6">
        <v>587.68</v>
      </c>
      <c r="I45" s="4" t="s">
        <v>21</v>
      </c>
      <c r="J45" s="4" t="s">
        <v>38</v>
      </c>
      <c r="K45" s="6">
        <v>2938.4</v>
      </c>
    </row>
    <row r="46">
      <c r="A46" s="4">
        <v>164.0</v>
      </c>
      <c r="B46" s="4" t="s">
        <v>130</v>
      </c>
      <c r="C46" s="4" t="s">
        <v>131</v>
      </c>
      <c r="D46" s="5">
        <v>45697.0</v>
      </c>
      <c r="E46" s="4" t="s">
        <v>110</v>
      </c>
      <c r="F46" s="4" t="s">
        <v>14</v>
      </c>
      <c r="G46" s="4">
        <v>1.0</v>
      </c>
      <c r="H46" s="6">
        <v>587.64</v>
      </c>
      <c r="I46" s="4" t="s">
        <v>63</v>
      </c>
      <c r="J46" s="4" t="s">
        <v>38</v>
      </c>
      <c r="K46" s="6">
        <f>H46*G46</f>
        <v>587.64</v>
      </c>
    </row>
    <row r="47">
      <c r="A47" s="4">
        <v>169.0</v>
      </c>
      <c r="B47" s="4" t="s">
        <v>132</v>
      </c>
      <c r="C47" s="4" t="s">
        <v>133</v>
      </c>
      <c r="D47" s="5">
        <v>45881.0</v>
      </c>
      <c r="E47" s="4" t="s">
        <v>13</v>
      </c>
      <c r="F47" s="4" t="s">
        <v>14</v>
      </c>
      <c r="G47" s="4">
        <v>1.0</v>
      </c>
      <c r="H47" s="6">
        <v>582.13</v>
      </c>
      <c r="I47" s="4" t="s">
        <v>63</v>
      </c>
      <c r="J47" s="4" t="s">
        <v>38</v>
      </c>
      <c r="K47" s="6">
        <v>582.13</v>
      </c>
    </row>
    <row r="48">
      <c r="A48" s="4">
        <v>166.0</v>
      </c>
      <c r="B48" s="4" t="s">
        <v>134</v>
      </c>
      <c r="C48" s="4" t="s">
        <v>135</v>
      </c>
      <c r="D48" s="5">
        <v>45841.0</v>
      </c>
      <c r="E48" s="4" t="s">
        <v>76</v>
      </c>
      <c r="F48" s="4" t="s">
        <v>20</v>
      </c>
      <c r="G48" s="4">
        <v>2.0</v>
      </c>
      <c r="H48" s="6">
        <v>569.38</v>
      </c>
      <c r="I48" s="4" t="s">
        <v>15</v>
      </c>
      <c r="J48" s="4" t="s">
        <v>46</v>
      </c>
      <c r="K48" s="6">
        <v>1138.76</v>
      </c>
    </row>
    <row r="49">
      <c r="A49" s="4">
        <v>122.0</v>
      </c>
      <c r="B49" s="4" t="s">
        <v>136</v>
      </c>
      <c r="C49" s="4" t="s">
        <v>137</v>
      </c>
      <c r="D49" s="5">
        <v>45793.0</v>
      </c>
      <c r="E49" s="4" t="s">
        <v>138</v>
      </c>
      <c r="F49" s="4" t="s">
        <v>26</v>
      </c>
      <c r="G49" s="4">
        <v>2.0</v>
      </c>
      <c r="H49" s="6">
        <v>556.93</v>
      </c>
      <c r="I49" s="4" t="s">
        <v>21</v>
      </c>
      <c r="J49" s="4" t="s">
        <v>46</v>
      </c>
      <c r="K49" s="6">
        <v>1113.86</v>
      </c>
    </row>
    <row r="50">
      <c r="A50" s="4">
        <v>104.0</v>
      </c>
      <c r="B50" s="4" t="s">
        <v>139</v>
      </c>
      <c r="C50" s="4" t="s">
        <v>140</v>
      </c>
      <c r="D50" s="5">
        <v>45950.0</v>
      </c>
      <c r="E50" s="4" t="s">
        <v>79</v>
      </c>
      <c r="F50" s="4" t="s">
        <v>42</v>
      </c>
      <c r="G50" s="4">
        <v>1.0</v>
      </c>
      <c r="H50" s="6">
        <v>552.51</v>
      </c>
      <c r="I50" s="4" t="s">
        <v>15</v>
      </c>
      <c r="J50" s="4" t="s">
        <v>22</v>
      </c>
      <c r="K50" s="6">
        <v>552.51</v>
      </c>
    </row>
    <row r="51">
      <c r="A51" s="4">
        <v>141.0</v>
      </c>
      <c r="B51" s="4" t="s">
        <v>141</v>
      </c>
      <c r="C51" s="4" t="s">
        <v>142</v>
      </c>
      <c r="D51" s="5">
        <v>45701.0</v>
      </c>
      <c r="E51" s="4" t="s">
        <v>57</v>
      </c>
      <c r="F51" s="4" t="s">
        <v>42</v>
      </c>
      <c r="G51" s="4">
        <v>3.0</v>
      </c>
      <c r="H51" s="6">
        <v>546.04</v>
      </c>
      <c r="I51" s="4" t="s">
        <v>15</v>
      </c>
      <c r="J51" s="4" t="s">
        <v>38</v>
      </c>
      <c r="K51" s="6">
        <v>1638.12</v>
      </c>
    </row>
    <row r="52">
      <c r="A52" s="4">
        <v>182.0</v>
      </c>
      <c r="B52" s="4" t="s">
        <v>143</v>
      </c>
      <c r="C52" s="4" t="s">
        <v>144</v>
      </c>
      <c r="D52" s="5">
        <v>45872.0</v>
      </c>
      <c r="E52" s="4" t="s">
        <v>72</v>
      </c>
      <c r="F52" s="7" t="s">
        <v>100</v>
      </c>
      <c r="G52" s="4">
        <v>4.0</v>
      </c>
      <c r="H52" s="6">
        <v>538.35</v>
      </c>
      <c r="I52" s="4" t="s">
        <v>21</v>
      </c>
      <c r="J52" s="4" t="s">
        <v>22</v>
      </c>
      <c r="K52" s="6">
        <v>2153.4</v>
      </c>
    </row>
    <row r="53">
      <c r="A53" s="4">
        <v>138.0</v>
      </c>
      <c r="B53" s="4" t="s">
        <v>145</v>
      </c>
      <c r="C53" s="4" t="s">
        <v>146</v>
      </c>
      <c r="D53" s="5">
        <v>45878.0</v>
      </c>
      <c r="E53" s="4" t="s">
        <v>37</v>
      </c>
      <c r="F53" s="4" t="s">
        <v>26</v>
      </c>
      <c r="G53" s="4">
        <v>1.0</v>
      </c>
      <c r="H53" s="6">
        <v>531.06</v>
      </c>
      <c r="I53" s="4" t="s">
        <v>21</v>
      </c>
      <c r="J53" s="4" t="s">
        <v>22</v>
      </c>
      <c r="K53" s="6">
        <v>531.06</v>
      </c>
    </row>
    <row r="54">
      <c r="A54" s="4">
        <v>176.0</v>
      </c>
      <c r="B54" s="4" t="s">
        <v>147</v>
      </c>
      <c r="C54" s="4" t="s">
        <v>148</v>
      </c>
      <c r="D54" s="5">
        <v>45860.0</v>
      </c>
      <c r="E54" s="4" t="s">
        <v>41</v>
      </c>
      <c r="F54" s="4" t="s">
        <v>42</v>
      </c>
      <c r="G54" s="4">
        <v>5.0</v>
      </c>
      <c r="H54" s="6">
        <v>530.52</v>
      </c>
      <c r="I54" s="4" t="s">
        <v>15</v>
      </c>
      <c r="J54" s="4" t="s">
        <v>46</v>
      </c>
      <c r="K54" s="6">
        <v>2652.6</v>
      </c>
    </row>
    <row r="55">
      <c r="A55" s="4">
        <v>121.0</v>
      </c>
      <c r="B55" s="4" t="s">
        <v>149</v>
      </c>
      <c r="C55" s="4" t="s">
        <v>150</v>
      </c>
      <c r="D55" s="5">
        <v>45941.0</v>
      </c>
      <c r="E55" s="4" t="s">
        <v>13</v>
      </c>
      <c r="F55" s="4" t="s">
        <v>14</v>
      </c>
      <c r="G55" s="4">
        <v>4.0</v>
      </c>
      <c r="H55" s="6">
        <v>523.01</v>
      </c>
      <c r="I55" s="4" t="s">
        <v>63</v>
      </c>
      <c r="J55" s="4" t="s">
        <v>27</v>
      </c>
      <c r="K55" s="6">
        <v>2092.04</v>
      </c>
    </row>
    <row r="56">
      <c r="A56" s="4">
        <v>193.0</v>
      </c>
      <c r="B56" s="4" t="s">
        <v>151</v>
      </c>
      <c r="C56" s="4" t="s">
        <v>152</v>
      </c>
      <c r="D56" s="5">
        <v>45814.0</v>
      </c>
      <c r="E56" s="4" t="s">
        <v>13</v>
      </c>
      <c r="F56" s="4" t="s">
        <v>14</v>
      </c>
      <c r="G56" s="4">
        <v>1.0</v>
      </c>
      <c r="H56" s="6">
        <v>522.02</v>
      </c>
      <c r="I56" s="4" t="s">
        <v>21</v>
      </c>
      <c r="J56" s="4" t="s">
        <v>46</v>
      </c>
      <c r="K56" s="6">
        <f>H56*G56</f>
        <v>522.02</v>
      </c>
    </row>
    <row r="57">
      <c r="A57" s="4">
        <v>188.0</v>
      </c>
      <c r="B57" s="4" t="s">
        <v>153</v>
      </c>
      <c r="C57" s="4" t="s">
        <v>154</v>
      </c>
      <c r="D57" s="5">
        <v>45615.0</v>
      </c>
      <c r="E57" s="4" t="s">
        <v>138</v>
      </c>
      <c r="F57" s="4" t="s">
        <v>26</v>
      </c>
      <c r="G57" s="4">
        <v>5.0</v>
      </c>
      <c r="H57" s="6">
        <v>504.05</v>
      </c>
      <c r="I57" s="4" t="s">
        <v>15</v>
      </c>
      <c r="J57" s="4" t="s">
        <v>46</v>
      </c>
      <c r="K57" s="6">
        <v>2520.25</v>
      </c>
    </row>
    <row r="58">
      <c r="A58" s="4">
        <v>198.0</v>
      </c>
      <c r="B58" s="4" t="s">
        <v>155</v>
      </c>
      <c r="C58" s="4" t="s">
        <v>156</v>
      </c>
      <c r="D58" s="5">
        <v>45865.0</v>
      </c>
      <c r="E58" s="4" t="s">
        <v>25</v>
      </c>
      <c r="F58" s="7" t="s">
        <v>100</v>
      </c>
      <c r="G58" s="4">
        <v>2.0</v>
      </c>
      <c r="H58" s="6">
        <v>497.01</v>
      </c>
      <c r="I58" s="4" t="s">
        <v>15</v>
      </c>
      <c r="J58" s="4" t="s">
        <v>46</v>
      </c>
      <c r="K58" s="6">
        <v>994.02</v>
      </c>
    </row>
    <row r="59">
      <c r="A59" s="4">
        <v>178.0</v>
      </c>
      <c r="B59" s="4" t="s">
        <v>157</v>
      </c>
      <c r="C59" s="4" t="s">
        <v>158</v>
      </c>
      <c r="D59" s="5">
        <v>45918.0</v>
      </c>
      <c r="E59" s="4" t="s">
        <v>110</v>
      </c>
      <c r="F59" s="4" t="s">
        <v>14</v>
      </c>
      <c r="G59" s="4">
        <v>3.0</v>
      </c>
      <c r="H59" s="6">
        <v>472.14</v>
      </c>
      <c r="I59" s="4" t="s">
        <v>21</v>
      </c>
      <c r="J59" s="4" t="s">
        <v>38</v>
      </c>
      <c r="K59" s="6">
        <v>1416.42</v>
      </c>
    </row>
    <row r="60">
      <c r="A60" s="4">
        <v>151.0</v>
      </c>
      <c r="B60" s="4" t="s">
        <v>159</v>
      </c>
      <c r="C60" s="4" t="s">
        <v>160</v>
      </c>
      <c r="D60" s="5">
        <v>45839.0</v>
      </c>
      <c r="E60" s="4" t="s">
        <v>41</v>
      </c>
      <c r="F60" s="4" t="s">
        <v>42</v>
      </c>
      <c r="G60" s="4">
        <v>2.0</v>
      </c>
      <c r="H60" s="6">
        <v>457.16</v>
      </c>
      <c r="I60" s="4" t="s">
        <v>21</v>
      </c>
      <c r="J60" s="4" t="s">
        <v>22</v>
      </c>
      <c r="K60" s="6">
        <v>640.024</v>
      </c>
    </row>
    <row r="61">
      <c r="A61" s="4">
        <v>135.0</v>
      </c>
      <c r="B61" s="4" t="s">
        <v>161</v>
      </c>
      <c r="C61" s="4" t="s">
        <v>162</v>
      </c>
      <c r="D61" s="5">
        <v>45697.0</v>
      </c>
      <c r="E61" s="4" t="s">
        <v>45</v>
      </c>
      <c r="F61" s="4" t="s">
        <v>20</v>
      </c>
      <c r="G61" s="4">
        <v>4.0</v>
      </c>
      <c r="H61" s="6">
        <v>446.19</v>
      </c>
      <c r="I61" s="4" t="s">
        <v>15</v>
      </c>
      <c r="J61" s="4" t="s">
        <v>16</v>
      </c>
      <c r="K61" s="6">
        <v>1784.76</v>
      </c>
    </row>
    <row r="62">
      <c r="A62" s="4">
        <v>165.0</v>
      </c>
      <c r="B62" s="4" t="s">
        <v>163</v>
      </c>
      <c r="C62" s="4" t="s">
        <v>164</v>
      </c>
      <c r="D62" s="5">
        <v>45604.0</v>
      </c>
      <c r="E62" s="4" t="s">
        <v>72</v>
      </c>
      <c r="F62" s="4" t="s">
        <v>73</v>
      </c>
      <c r="G62" s="4">
        <v>2.0</v>
      </c>
      <c r="H62" s="6">
        <v>443.13</v>
      </c>
      <c r="I62" s="4" t="s">
        <v>63</v>
      </c>
      <c r="J62" s="4" t="s">
        <v>27</v>
      </c>
      <c r="K62" s="6">
        <v>886.26</v>
      </c>
    </row>
    <row r="63">
      <c r="A63" s="4">
        <v>119.0</v>
      </c>
      <c r="B63" s="4" t="s">
        <v>165</v>
      </c>
      <c r="C63" s="4" t="s">
        <v>166</v>
      </c>
      <c r="D63" s="5">
        <v>45645.0</v>
      </c>
      <c r="E63" s="4" t="s">
        <v>13</v>
      </c>
      <c r="F63" s="4" t="s">
        <v>14</v>
      </c>
      <c r="G63" s="4">
        <v>4.0</v>
      </c>
      <c r="H63" s="6">
        <v>438.19</v>
      </c>
      <c r="I63" s="4" t="s">
        <v>15</v>
      </c>
      <c r="J63" s="4" t="s">
        <v>22</v>
      </c>
      <c r="K63" s="6">
        <v>1752.76</v>
      </c>
    </row>
    <row r="64">
      <c r="A64" s="4">
        <v>180.0</v>
      </c>
      <c r="B64" s="4" t="s">
        <v>167</v>
      </c>
      <c r="C64" s="4" t="s">
        <v>168</v>
      </c>
      <c r="D64" s="5">
        <v>45742.0</v>
      </c>
      <c r="E64" s="4" t="s">
        <v>66</v>
      </c>
      <c r="F64" s="7" t="s">
        <v>100</v>
      </c>
      <c r="G64" s="4">
        <v>2.0</v>
      </c>
      <c r="H64" s="6">
        <v>418.38</v>
      </c>
      <c r="I64" s="4" t="s">
        <v>63</v>
      </c>
      <c r="J64" s="4" t="s">
        <v>22</v>
      </c>
      <c r="K64" s="6">
        <v>836.76</v>
      </c>
    </row>
    <row r="65">
      <c r="A65" s="4">
        <v>114.0</v>
      </c>
      <c r="B65" s="4" t="s">
        <v>169</v>
      </c>
      <c r="C65" s="4" t="s">
        <v>170</v>
      </c>
      <c r="D65" s="5">
        <v>44931.0</v>
      </c>
      <c r="E65" s="4" t="s">
        <v>19</v>
      </c>
      <c r="F65" s="4" t="s">
        <v>20</v>
      </c>
      <c r="G65" s="4">
        <v>2.0</v>
      </c>
      <c r="H65" s="6">
        <v>413.13</v>
      </c>
      <c r="I65" s="4" t="s">
        <v>15</v>
      </c>
      <c r="J65" s="4" t="s">
        <v>46</v>
      </c>
      <c r="K65" s="6">
        <v>826.26</v>
      </c>
    </row>
    <row r="66">
      <c r="A66" s="4">
        <v>113.0</v>
      </c>
      <c r="B66" s="4" t="s">
        <v>171</v>
      </c>
      <c r="C66" s="4" t="s">
        <v>172</v>
      </c>
      <c r="D66" s="5">
        <v>45862.0</v>
      </c>
      <c r="E66" s="4" t="s">
        <v>57</v>
      </c>
      <c r="F66" s="4" t="s">
        <v>42</v>
      </c>
      <c r="G66" s="4">
        <v>1.0</v>
      </c>
      <c r="H66" s="6">
        <v>411.81</v>
      </c>
      <c r="I66" s="4" t="s">
        <v>63</v>
      </c>
      <c r="J66" s="4" t="s">
        <v>22</v>
      </c>
      <c r="K66" s="6">
        <v>411.81</v>
      </c>
    </row>
    <row r="67">
      <c r="A67" s="4">
        <v>102.0</v>
      </c>
      <c r="B67" s="4" t="s">
        <v>173</v>
      </c>
      <c r="C67" s="4" t="s">
        <v>174</v>
      </c>
      <c r="D67" s="5">
        <v>45649.0</v>
      </c>
      <c r="E67" s="4" t="s">
        <v>110</v>
      </c>
      <c r="F67" s="4" t="s">
        <v>14</v>
      </c>
      <c r="G67" s="4">
        <v>1.0</v>
      </c>
      <c r="H67" s="6">
        <v>389.05</v>
      </c>
      <c r="I67" s="4" t="s">
        <v>21</v>
      </c>
      <c r="J67" s="4" t="s">
        <v>27</v>
      </c>
      <c r="K67" s="6">
        <v>389.05</v>
      </c>
    </row>
    <row r="68">
      <c r="A68" s="4">
        <v>199.0</v>
      </c>
      <c r="B68" s="4" t="s">
        <v>175</v>
      </c>
      <c r="C68" s="4" t="s">
        <v>176</v>
      </c>
      <c r="D68" s="5">
        <v>45679.0</v>
      </c>
      <c r="E68" s="4" t="s">
        <v>30</v>
      </c>
      <c r="F68" s="4" t="s">
        <v>26</v>
      </c>
      <c r="G68" s="4">
        <v>5.0</v>
      </c>
      <c r="H68" s="6">
        <v>372.28</v>
      </c>
      <c r="I68" s="4" t="s">
        <v>63</v>
      </c>
      <c r="J68" s="4" t="s">
        <v>46</v>
      </c>
      <c r="K68" s="6">
        <v>1861.4</v>
      </c>
    </row>
    <row r="69">
      <c r="A69" s="4">
        <v>186.0</v>
      </c>
      <c r="B69" s="4" t="s">
        <v>177</v>
      </c>
      <c r="C69" s="4" t="s">
        <v>178</v>
      </c>
      <c r="D69" s="5">
        <v>45936.0</v>
      </c>
      <c r="E69" s="4" t="s">
        <v>66</v>
      </c>
      <c r="F69" s="4" t="s">
        <v>20</v>
      </c>
      <c r="G69" s="4">
        <v>1.0</v>
      </c>
      <c r="H69" s="6">
        <v>365.34</v>
      </c>
      <c r="I69" s="4" t="s">
        <v>34</v>
      </c>
      <c r="J69" s="4" t="s">
        <v>27</v>
      </c>
      <c r="K69" s="6">
        <v>365.34</v>
      </c>
    </row>
    <row r="70">
      <c r="A70" s="4">
        <v>173.0</v>
      </c>
      <c r="B70" s="4" t="s">
        <v>179</v>
      </c>
      <c r="C70" s="4" t="s">
        <v>180</v>
      </c>
      <c r="D70" s="5">
        <v>45941.0</v>
      </c>
      <c r="E70" s="4" t="s">
        <v>37</v>
      </c>
      <c r="F70" s="4" t="s">
        <v>26</v>
      </c>
      <c r="G70" s="4">
        <v>5.0</v>
      </c>
      <c r="H70" s="6">
        <v>351.89</v>
      </c>
      <c r="I70" s="4" t="s">
        <v>63</v>
      </c>
      <c r="J70" s="4" t="s">
        <v>46</v>
      </c>
      <c r="K70" s="6">
        <v>1759.45</v>
      </c>
    </row>
    <row r="71">
      <c r="A71" s="4">
        <v>133.0</v>
      </c>
      <c r="B71" s="4" t="s">
        <v>181</v>
      </c>
      <c r="C71" s="4" t="s">
        <v>182</v>
      </c>
      <c r="D71" s="5">
        <v>45631.0</v>
      </c>
      <c r="E71" s="4" t="s">
        <v>79</v>
      </c>
      <c r="F71" s="4" t="s">
        <v>183</v>
      </c>
      <c r="G71" s="4">
        <v>5.0</v>
      </c>
      <c r="H71" s="6">
        <v>343.24</v>
      </c>
      <c r="I71" s="4" t="s">
        <v>63</v>
      </c>
      <c r="J71" s="4" t="s">
        <v>46</v>
      </c>
      <c r="K71" s="6">
        <v>1716.2</v>
      </c>
    </row>
    <row r="72">
      <c r="A72" s="4">
        <v>127.0</v>
      </c>
      <c r="B72" s="4" t="s">
        <v>184</v>
      </c>
      <c r="C72" s="4" t="s">
        <v>185</v>
      </c>
      <c r="D72" s="5">
        <v>45789.0</v>
      </c>
      <c r="E72" s="4" t="s">
        <v>30</v>
      </c>
      <c r="F72" s="4" t="s">
        <v>26</v>
      </c>
      <c r="G72" s="4">
        <v>5.0</v>
      </c>
      <c r="H72" s="6">
        <v>336.02</v>
      </c>
      <c r="I72" s="4" t="s">
        <v>34</v>
      </c>
      <c r="J72" s="4" t="s">
        <v>38</v>
      </c>
      <c r="K72" s="6">
        <v>1680.1</v>
      </c>
    </row>
    <row r="73">
      <c r="A73" s="4">
        <v>120.0</v>
      </c>
      <c r="B73" s="4" t="s">
        <v>186</v>
      </c>
      <c r="C73" s="4" t="s">
        <v>187</v>
      </c>
      <c r="D73" s="5">
        <v>45821.0</v>
      </c>
      <c r="E73" s="4" t="s">
        <v>60</v>
      </c>
      <c r="F73" s="4" t="s">
        <v>20</v>
      </c>
      <c r="G73" s="4">
        <v>5.0</v>
      </c>
      <c r="H73" s="6">
        <v>300.0</v>
      </c>
      <c r="I73" s="4" t="s">
        <v>63</v>
      </c>
      <c r="J73" s="4" t="s">
        <v>16</v>
      </c>
      <c r="K73" s="6">
        <f>H73*G73</f>
        <v>1500</v>
      </c>
    </row>
    <row r="74">
      <c r="A74" s="4">
        <v>153.0</v>
      </c>
      <c r="B74" s="4" t="s">
        <v>188</v>
      </c>
      <c r="C74" s="4" t="s">
        <v>189</v>
      </c>
      <c r="D74" s="5">
        <v>45854.0</v>
      </c>
      <c r="E74" s="4" t="s">
        <v>60</v>
      </c>
      <c r="F74" s="4" t="s">
        <v>14</v>
      </c>
      <c r="G74" s="4">
        <v>4.0</v>
      </c>
      <c r="H74" s="6">
        <v>278.9</v>
      </c>
      <c r="I74" s="4" t="s">
        <v>15</v>
      </c>
      <c r="J74" s="4" t="s">
        <v>22</v>
      </c>
      <c r="K74" s="6">
        <v>1115.6</v>
      </c>
    </row>
    <row r="75">
      <c r="A75" s="4">
        <v>157.0</v>
      </c>
      <c r="B75" s="4" t="s">
        <v>190</v>
      </c>
      <c r="C75" s="4" t="s">
        <v>191</v>
      </c>
      <c r="D75" s="5">
        <v>45967.0</v>
      </c>
      <c r="E75" s="4" t="s">
        <v>121</v>
      </c>
      <c r="F75" s="4" t="s">
        <v>73</v>
      </c>
      <c r="G75" s="4">
        <v>4.0</v>
      </c>
      <c r="H75" s="6">
        <v>275.1</v>
      </c>
      <c r="I75" s="4" t="s">
        <v>34</v>
      </c>
      <c r="J75" s="4" t="s">
        <v>22</v>
      </c>
      <c r="K75" s="6">
        <v>1100.4</v>
      </c>
    </row>
    <row r="76">
      <c r="A76" s="4">
        <v>132.0</v>
      </c>
      <c r="B76" s="4" t="s">
        <v>192</v>
      </c>
      <c r="C76" s="4" t="s">
        <v>193</v>
      </c>
      <c r="D76" s="5">
        <v>45749.0</v>
      </c>
      <c r="E76" s="4" t="s">
        <v>60</v>
      </c>
      <c r="F76" s="4" t="s">
        <v>20</v>
      </c>
      <c r="G76" s="4">
        <v>1.0</v>
      </c>
      <c r="H76" s="6">
        <v>266.7</v>
      </c>
      <c r="I76" s="4" t="s">
        <v>21</v>
      </c>
      <c r="J76" s="4" t="s">
        <v>27</v>
      </c>
      <c r="K76" s="6">
        <v>266.7</v>
      </c>
    </row>
    <row r="77">
      <c r="A77" s="4">
        <v>181.0</v>
      </c>
      <c r="B77" s="4" t="s">
        <v>194</v>
      </c>
      <c r="C77" s="4" t="s">
        <v>195</v>
      </c>
      <c r="D77" s="5">
        <v>45655.0</v>
      </c>
      <c r="E77" s="4" t="s">
        <v>19</v>
      </c>
      <c r="F77" s="4" t="s">
        <v>183</v>
      </c>
      <c r="G77" s="4">
        <v>1.0</v>
      </c>
      <c r="H77" s="6">
        <v>266.48</v>
      </c>
      <c r="I77" s="4" t="s">
        <v>15</v>
      </c>
      <c r="J77" s="4" t="s">
        <v>16</v>
      </c>
      <c r="K77" s="6">
        <v>266.48</v>
      </c>
    </row>
    <row r="78">
      <c r="A78" s="4">
        <v>118.0</v>
      </c>
      <c r="B78" s="4" t="s">
        <v>196</v>
      </c>
      <c r="C78" s="4" t="s">
        <v>197</v>
      </c>
      <c r="D78" s="5">
        <v>45808.0</v>
      </c>
      <c r="E78" s="4" t="s">
        <v>95</v>
      </c>
      <c r="F78" s="4" t="s">
        <v>42</v>
      </c>
      <c r="G78" s="4">
        <v>5.0</v>
      </c>
      <c r="H78" s="6">
        <v>247.82</v>
      </c>
      <c r="I78" s="4" t="s">
        <v>21</v>
      </c>
      <c r="J78" s="4" t="s">
        <v>22</v>
      </c>
      <c r="K78" s="6">
        <v>1239.1</v>
      </c>
    </row>
    <row r="79">
      <c r="A79" s="4">
        <v>160.0</v>
      </c>
      <c r="B79" s="4" t="s">
        <v>198</v>
      </c>
      <c r="C79" s="4" t="s">
        <v>199</v>
      </c>
      <c r="D79" s="5">
        <v>45660.0</v>
      </c>
      <c r="E79" s="4" t="s">
        <v>95</v>
      </c>
      <c r="F79" s="4" t="s">
        <v>42</v>
      </c>
      <c r="G79" s="4">
        <v>5.0</v>
      </c>
      <c r="H79" s="6">
        <v>242.52</v>
      </c>
      <c r="I79" s="4" t="s">
        <v>15</v>
      </c>
      <c r="J79" s="4" t="s">
        <v>38</v>
      </c>
      <c r="K79" s="6">
        <v>1212.6</v>
      </c>
    </row>
    <row r="80">
      <c r="A80" s="4">
        <v>163.0</v>
      </c>
      <c r="B80" s="4" t="s">
        <v>200</v>
      </c>
      <c r="C80" s="4" t="s">
        <v>201</v>
      </c>
      <c r="D80" s="5">
        <v>44931.0</v>
      </c>
      <c r="E80" s="4" t="s">
        <v>45</v>
      </c>
      <c r="F80" s="4" t="s">
        <v>20</v>
      </c>
      <c r="G80" s="4">
        <v>3.0</v>
      </c>
      <c r="H80" s="6">
        <v>235.26</v>
      </c>
      <c r="I80" s="4" t="s">
        <v>15</v>
      </c>
      <c r="J80" s="4" t="s">
        <v>46</v>
      </c>
      <c r="K80" s="6">
        <v>705.78</v>
      </c>
    </row>
    <row r="81">
      <c r="A81" s="4">
        <v>103.0</v>
      </c>
      <c r="B81" s="4" t="s">
        <v>202</v>
      </c>
      <c r="C81" s="4" t="s">
        <v>203</v>
      </c>
      <c r="D81" s="5">
        <v>45735.0</v>
      </c>
      <c r="E81" s="4" t="s">
        <v>95</v>
      </c>
      <c r="F81" s="4" t="s">
        <v>42</v>
      </c>
      <c r="G81" s="4">
        <v>5.0</v>
      </c>
      <c r="H81" s="6">
        <v>233.92</v>
      </c>
      <c r="I81" s="4" t="s">
        <v>21</v>
      </c>
      <c r="J81" s="4" t="s">
        <v>22</v>
      </c>
      <c r="K81" s="6">
        <v>1169.6</v>
      </c>
    </row>
    <row r="82">
      <c r="A82" s="4">
        <v>152.0</v>
      </c>
      <c r="B82" s="4" t="s">
        <v>204</v>
      </c>
      <c r="C82" s="4" t="s">
        <v>205</v>
      </c>
      <c r="D82" s="5">
        <v>45922.0</v>
      </c>
      <c r="E82" s="4" t="s">
        <v>37</v>
      </c>
      <c r="F82" s="4" t="s">
        <v>26</v>
      </c>
      <c r="G82" s="4">
        <v>3.0</v>
      </c>
      <c r="H82" s="6">
        <v>233.11</v>
      </c>
      <c r="I82" s="4" t="s">
        <v>21</v>
      </c>
      <c r="J82" s="4" t="s">
        <v>38</v>
      </c>
      <c r="K82" s="6">
        <v>699.33</v>
      </c>
    </row>
    <row r="83">
      <c r="A83" s="4">
        <v>161.0</v>
      </c>
      <c r="B83" s="4" t="s">
        <v>206</v>
      </c>
      <c r="C83" s="4" t="s">
        <v>207</v>
      </c>
      <c r="D83" s="5">
        <v>45641.0</v>
      </c>
      <c r="E83" s="4" t="s">
        <v>95</v>
      </c>
      <c r="F83" s="4" t="s">
        <v>42</v>
      </c>
      <c r="G83" s="4">
        <v>4.0</v>
      </c>
      <c r="H83" s="6">
        <v>209.32</v>
      </c>
      <c r="I83" s="4" t="s">
        <v>34</v>
      </c>
      <c r="J83" s="4" t="s">
        <v>46</v>
      </c>
      <c r="K83" s="6">
        <v>837.28</v>
      </c>
    </row>
    <row r="84">
      <c r="A84" s="4">
        <v>150.0</v>
      </c>
      <c r="B84" s="4" t="s">
        <v>208</v>
      </c>
      <c r="C84" s="4" t="s">
        <v>209</v>
      </c>
      <c r="D84" s="5">
        <v>45623.0</v>
      </c>
      <c r="E84" s="4" t="s">
        <v>60</v>
      </c>
      <c r="F84" s="4" t="s">
        <v>14</v>
      </c>
      <c r="G84" s="4">
        <v>1.0</v>
      </c>
      <c r="H84" s="6">
        <v>206.19</v>
      </c>
      <c r="I84" s="4" t="s">
        <v>63</v>
      </c>
      <c r="J84" s="4" t="s">
        <v>38</v>
      </c>
      <c r="K84" s="6">
        <v>206.19</v>
      </c>
    </row>
    <row r="85">
      <c r="A85" s="4">
        <v>174.0</v>
      </c>
      <c r="B85" s="4" t="s">
        <v>210</v>
      </c>
      <c r="C85" s="4" t="s">
        <v>211</v>
      </c>
      <c r="D85" s="5">
        <v>45920.0</v>
      </c>
      <c r="E85" s="4" t="s">
        <v>138</v>
      </c>
      <c r="F85" s="4" t="s">
        <v>20</v>
      </c>
      <c r="G85" s="4">
        <v>4.0</v>
      </c>
      <c r="H85" s="6">
        <v>187.48</v>
      </c>
      <c r="I85" s="4" t="s">
        <v>63</v>
      </c>
      <c r="J85" s="4" t="s">
        <v>38</v>
      </c>
      <c r="K85" s="6">
        <v>749.92</v>
      </c>
    </row>
    <row r="86">
      <c r="A86" s="4">
        <v>109.0</v>
      </c>
      <c r="B86" s="4" t="s">
        <v>212</v>
      </c>
      <c r="C86" s="4" t="s">
        <v>213</v>
      </c>
      <c r="D86" s="5">
        <v>45780.0</v>
      </c>
      <c r="E86" s="4" t="s">
        <v>110</v>
      </c>
      <c r="F86" s="4" t="s">
        <v>14</v>
      </c>
      <c r="G86" s="4">
        <v>5.0</v>
      </c>
      <c r="H86" s="6">
        <v>168.34</v>
      </c>
      <c r="I86" s="4" t="s">
        <v>63</v>
      </c>
      <c r="J86" s="4" t="s">
        <v>46</v>
      </c>
      <c r="K86" s="6">
        <v>841.7</v>
      </c>
    </row>
    <row r="87">
      <c r="A87" s="4">
        <v>159.0</v>
      </c>
      <c r="B87" s="4" t="s">
        <v>214</v>
      </c>
      <c r="C87" s="4" t="s">
        <v>215</v>
      </c>
      <c r="D87" s="5">
        <v>45866.0</v>
      </c>
      <c r="E87" s="4" t="s">
        <v>138</v>
      </c>
      <c r="F87" s="4" t="s">
        <v>26</v>
      </c>
      <c r="G87" s="4">
        <v>3.0</v>
      </c>
      <c r="H87" s="6">
        <v>163.16</v>
      </c>
      <c r="I87" s="4" t="s">
        <v>21</v>
      </c>
      <c r="J87" s="4" t="s">
        <v>46</v>
      </c>
      <c r="K87" s="6">
        <v>489.48</v>
      </c>
    </row>
    <row r="88">
      <c r="A88" s="4">
        <v>197.0</v>
      </c>
      <c r="B88" s="4" t="s">
        <v>216</v>
      </c>
      <c r="C88" s="4" t="s">
        <v>217</v>
      </c>
      <c r="D88" s="5">
        <v>45831.0</v>
      </c>
      <c r="E88" s="4" t="s">
        <v>30</v>
      </c>
      <c r="F88" s="4" t="s">
        <v>26</v>
      </c>
      <c r="G88" s="4">
        <v>1.0</v>
      </c>
      <c r="H88" s="6">
        <v>160.16</v>
      </c>
      <c r="I88" s="4" t="s">
        <v>21</v>
      </c>
      <c r="J88" s="4" t="s">
        <v>16</v>
      </c>
      <c r="K88" s="6">
        <v>160.16</v>
      </c>
    </row>
    <row r="89">
      <c r="A89" s="4">
        <v>162.0</v>
      </c>
      <c r="B89" s="4" t="s">
        <v>218</v>
      </c>
      <c r="C89" s="4" t="s">
        <v>219</v>
      </c>
      <c r="D89" s="5">
        <v>45796.0</v>
      </c>
      <c r="E89" s="4" t="s">
        <v>30</v>
      </c>
      <c r="F89" s="4" t="s">
        <v>26</v>
      </c>
      <c r="G89" s="4">
        <v>2.0</v>
      </c>
      <c r="H89" s="6">
        <v>155.76</v>
      </c>
      <c r="I89" s="4" t="s">
        <v>63</v>
      </c>
      <c r="J89" s="4" t="s">
        <v>38</v>
      </c>
      <c r="K89" s="6">
        <v>311.52</v>
      </c>
    </row>
    <row r="90">
      <c r="A90" s="4">
        <v>168.0</v>
      </c>
      <c r="B90" s="4" t="s">
        <v>220</v>
      </c>
      <c r="C90" s="4" t="s">
        <v>221</v>
      </c>
      <c r="D90" s="5">
        <v>45965.0</v>
      </c>
      <c r="E90" s="4" t="s">
        <v>79</v>
      </c>
      <c r="F90" s="4" t="s">
        <v>42</v>
      </c>
      <c r="G90" s="4">
        <v>2.0</v>
      </c>
      <c r="H90" s="6">
        <v>141.49</v>
      </c>
      <c r="I90" s="4" t="s">
        <v>21</v>
      </c>
      <c r="J90" s="4" t="s">
        <v>16</v>
      </c>
      <c r="K90" s="6">
        <v>282.98</v>
      </c>
    </row>
    <row r="91">
      <c r="A91" s="4">
        <v>105.0</v>
      </c>
      <c r="B91" s="4" t="s">
        <v>222</v>
      </c>
      <c r="C91" s="4" t="s">
        <v>223</v>
      </c>
      <c r="D91" s="5">
        <v>45616.0</v>
      </c>
      <c r="E91" s="4" t="s">
        <v>110</v>
      </c>
      <c r="F91" s="4" t="s">
        <v>14</v>
      </c>
      <c r="G91" s="4">
        <v>3.0</v>
      </c>
      <c r="H91" s="6">
        <v>122.06</v>
      </c>
      <c r="I91" s="4" t="s">
        <v>15</v>
      </c>
      <c r="J91" s="4" t="s">
        <v>16</v>
      </c>
      <c r="K91" s="6">
        <v>366.18</v>
      </c>
    </row>
    <row r="92">
      <c r="A92" s="4">
        <v>175.0</v>
      </c>
      <c r="B92" s="4" t="s">
        <v>224</v>
      </c>
      <c r="C92" s="4" t="s">
        <v>225</v>
      </c>
      <c r="D92" s="5">
        <v>45712.0</v>
      </c>
      <c r="E92" s="4" t="s">
        <v>103</v>
      </c>
      <c r="F92" s="4" t="s">
        <v>20</v>
      </c>
      <c r="G92" s="4">
        <v>1.0</v>
      </c>
      <c r="H92" s="6">
        <v>111.36</v>
      </c>
      <c r="I92" s="4" t="s">
        <v>63</v>
      </c>
      <c r="J92" s="4" t="s">
        <v>22</v>
      </c>
      <c r="K92" s="6">
        <v>111.36</v>
      </c>
    </row>
    <row r="93">
      <c r="A93" s="4">
        <v>175.0</v>
      </c>
      <c r="B93" s="7" t="s">
        <v>100</v>
      </c>
      <c r="C93" s="7" t="s">
        <v>100</v>
      </c>
      <c r="D93" s="5">
        <v>45712.0</v>
      </c>
      <c r="E93" s="4" t="s">
        <v>103</v>
      </c>
      <c r="F93" s="4" t="s">
        <v>20</v>
      </c>
      <c r="G93" s="4">
        <v>1.0</v>
      </c>
      <c r="H93" s="6">
        <v>111.36</v>
      </c>
      <c r="I93" s="4" t="s">
        <v>63</v>
      </c>
      <c r="J93" s="4" t="s">
        <v>22</v>
      </c>
      <c r="K93" s="6">
        <v>77.952</v>
      </c>
    </row>
    <row r="94">
      <c r="A94" s="4">
        <v>184.0</v>
      </c>
      <c r="B94" s="4" t="s">
        <v>226</v>
      </c>
      <c r="C94" s="4" t="s">
        <v>227</v>
      </c>
      <c r="D94" s="5">
        <v>45703.0</v>
      </c>
      <c r="E94" s="4" t="s">
        <v>92</v>
      </c>
      <c r="F94" s="7" t="s">
        <v>100</v>
      </c>
      <c r="G94" s="4">
        <v>4.0</v>
      </c>
      <c r="H94" s="6">
        <v>101.19</v>
      </c>
      <c r="I94" s="4" t="s">
        <v>34</v>
      </c>
      <c r="J94" s="4" t="s">
        <v>22</v>
      </c>
      <c r="K94" s="6">
        <v>404.76</v>
      </c>
    </row>
    <row r="95">
      <c r="A95" s="4">
        <v>177.0</v>
      </c>
      <c r="B95" s="4" t="s">
        <v>228</v>
      </c>
      <c r="C95" s="4" t="s">
        <v>229</v>
      </c>
      <c r="D95" s="5">
        <v>45866.0</v>
      </c>
      <c r="E95" s="4" t="s">
        <v>66</v>
      </c>
      <c r="F95" s="4" t="s">
        <v>20</v>
      </c>
      <c r="G95" s="4">
        <v>1.0</v>
      </c>
      <c r="H95" s="6">
        <v>69.48</v>
      </c>
      <c r="I95" s="4" t="s">
        <v>34</v>
      </c>
      <c r="J95" s="4" t="s">
        <v>38</v>
      </c>
      <c r="K95" s="6">
        <v>69.48</v>
      </c>
    </row>
    <row r="96">
      <c r="A96" s="4">
        <v>155.0</v>
      </c>
      <c r="B96" s="4" t="s">
        <v>230</v>
      </c>
      <c r="C96" s="4" t="s">
        <v>231</v>
      </c>
      <c r="D96" s="5">
        <v>45778.0</v>
      </c>
      <c r="E96" s="4" t="s">
        <v>72</v>
      </c>
      <c r="F96" s="4" t="s">
        <v>73</v>
      </c>
      <c r="G96" s="4">
        <v>1.0</v>
      </c>
      <c r="H96" s="6">
        <v>40.95</v>
      </c>
      <c r="I96" s="4" t="s">
        <v>21</v>
      </c>
      <c r="J96" s="4" t="s">
        <v>38</v>
      </c>
      <c r="K96" s="6">
        <v>40.95</v>
      </c>
    </row>
    <row r="97">
      <c r="A97" s="4">
        <v>100.0</v>
      </c>
      <c r="B97" s="4" t="s">
        <v>232</v>
      </c>
      <c r="C97" s="4" t="s">
        <v>233</v>
      </c>
      <c r="D97" s="5">
        <v>45618.0</v>
      </c>
      <c r="E97" s="4" t="s">
        <v>30</v>
      </c>
      <c r="F97" s="4" t="s">
        <v>26</v>
      </c>
      <c r="G97" s="4">
        <v>3.0</v>
      </c>
      <c r="H97" s="6">
        <v>38.0</v>
      </c>
      <c r="I97" s="4" t="s">
        <v>15</v>
      </c>
      <c r="J97" s="4" t="s">
        <v>46</v>
      </c>
      <c r="K97" s="6">
        <v>114.0</v>
      </c>
    </row>
    <row r="98">
      <c r="A98" s="4">
        <v>137.0</v>
      </c>
      <c r="B98" s="4" t="s">
        <v>234</v>
      </c>
      <c r="C98" s="4" t="s">
        <v>235</v>
      </c>
      <c r="D98" s="5">
        <v>45711.0</v>
      </c>
      <c r="E98" s="4" t="s">
        <v>25</v>
      </c>
      <c r="F98" s="4" t="s">
        <v>26</v>
      </c>
      <c r="G98" s="4">
        <v>3.0</v>
      </c>
      <c r="H98" s="6">
        <v>-100.0</v>
      </c>
      <c r="I98" s="4" t="s">
        <v>15</v>
      </c>
      <c r="J98" s="4" t="s">
        <v>27</v>
      </c>
      <c r="K98" s="6">
        <v>-300.0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sheetData>
    <row r="1">
      <c r="I1" s="8" t="s">
        <v>236</v>
      </c>
    </row>
    <row r="2">
      <c r="I2" s="9" t="s">
        <v>237</v>
      </c>
    </row>
    <row r="3">
      <c r="I3" s="10" t="s">
        <v>238</v>
      </c>
    </row>
    <row r="5">
      <c r="I5" s="10"/>
    </row>
    <row r="10" ht="23.25" customHeight="1"/>
    <row r="12" ht="22.5" customHeight="1">
      <c r="A12" s="11" t="s">
        <v>5</v>
      </c>
      <c r="B12" s="11" t="s">
        <v>239</v>
      </c>
      <c r="C12" s="11" t="s">
        <v>240</v>
      </c>
      <c r="I12" s="12" t="s">
        <v>241</v>
      </c>
    </row>
    <row r="13" ht="22.5" customHeight="1">
      <c r="A13" s="13" t="s">
        <v>240</v>
      </c>
      <c r="B13" s="13"/>
      <c r="C13" s="14">
        <v>172612.154</v>
      </c>
      <c r="I13" s="15" t="s">
        <v>242</v>
      </c>
      <c r="J13" s="16"/>
    </row>
    <row r="14" ht="22.5" customHeight="1">
      <c r="A14" s="13" t="s">
        <v>239</v>
      </c>
      <c r="B14" s="14">
        <v>147910.612</v>
      </c>
      <c r="C14" s="13"/>
      <c r="I14" s="15" t="s">
        <v>243</v>
      </c>
      <c r="J14" s="16"/>
    </row>
    <row r="15">
      <c r="I15" s="15" t="s">
        <v>244</v>
      </c>
      <c r="J15" s="16"/>
    </row>
    <row r="16">
      <c r="I16" s="15" t="s">
        <v>245</v>
      </c>
      <c r="J16" s="16"/>
    </row>
    <row r="17">
      <c r="I17" s="15" t="s">
        <v>246</v>
      </c>
      <c r="J17" s="16"/>
    </row>
    <row r="24" ht="22.5" customHeight="1">
      <c r="H24" s="11" t="s">
        <v>8</v>
      </c>
      <c r="I24" s="11" t="s">
        <v>15</v>
      </c>
      <c r="J24" s="11" t="s">
        <v>21</v>
      </c>
      <c r="K24" s="11" t="s">
        <v>63</v>
      </c>
      <c r="L24" s="11" t="s">
        <v>34</v>
      </c>
    </row>
    <row r="25" ht="22.5" customHeight="1">
      <c r="H25" s="13" t="s">
        <v>34</v>
      </c>
      <c r="I25" s="13"/>
      <c r="J25" s="13"/>
      <c r="K25" s="13"/>
      <c r="L25" s="14">
        <v>41.0</v>
      </c>
    </row>
    <row r="26" ht="22.5" customHeight="1">
      <c r="H26" s="13" t="s">
        <v>15</v>
      </c>
      <c r="I26" s="14">
        <v>60.0</v>
      </c>
      <c r="J26" s="13"/>
      <c r="K26" s="13"/>
      <c r="L26" s="13"/>
    </row>
    <row r="27" ht="22.5" customHeight="1">
      <c r="H27" s="13" t="s">
        <v>63</v>
      </c>
      <c r="I27" s="13"/>
      <c r="J27" s="13"/>
      <c r="K27" s="14">
        <v>42.0</v>
      </c>
      <c r="L27" s="13"/>
    </row>
    <row r="28" ht="22.5" customHeight="1">
      <c r="H28" s="13" t="s">
        <v>21</v>
      </c>
      <c r="I28" s="13"/>
      <c r="J28" s="14">
        <v>43.0</v>
      </c>
      <c r="K28" s="13"/>
      <c r="L28" s="13"/>
    </row>
  </sheetData>
  <mergeCells count="3">
    <mergeCell ref="I1:J1"/>
    <mergeCell ref="I2:K2"/>
    <mergeCell ref="I12:J12"/>
  </mergeCells>
  <dataValidations>
    <dataValidation type="custom" allowBlank="1" showDropDown="1" sqref="B13:C14 I25:L28">
      <formula1>AND(ISNUMBER(B13),(NOT(OR(NOT(ISERROR(DATEVALUE(B13))), AND(ISNUMBER(B13), LEFT(CELL("format", B13))="D")))))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225.0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2.5"/>
    <col customWidth="1" min="3" max="3" width="15.75"/>
    <col customWidth="1" min="4" max="4" width="25.13"/>
    <col customWidth="1" min="5" max="5" width="15.75"/>
    <col customWidth="1" min="6" max="6" width="16.63"/>
    <col customWidth="1" min="7" max="7" width="13.88"/>
    <col customWidth="1" min="8" max="9" width="14.75"/>
    <col customWidth="1" min="10" max="11" width="24.13"/>
  </cols>
  <sheetData>
    <row r="1" ht="225.0" customHeight="1"/>
    <row r="3" ht="22.5" customHeight="1">
      <c r="A3" s="11" t="s">
        <v>4</v>
      </c>
      <c r="B3" s="11" t="s">
        <v>247</v>
      </c>
      <c r="C3" s="11" t="s">
        <v>248</v>
      </c>
      <c r="D3" s="11" t="s">
        <v>249</v>
      </c>
      <c r="E3" s="11" t="s">
        <v>250</v>
      </c>
      <c r="F3" s="11" t="s">
        <v>251</v>
      </c>
      <c r="G3" s="11" t="s">
        <v>252</v>
      </c>
      <c r="H3" s="11" t="s">
        <v>253</v>
      </c>
      <c r="I3" s="11" t="s">
        <v>254</v>
      </c>
      <c r="J3" s="11" t="s">
        <v>255</v>
      </c>
      <c r="K3" s="11" t="s">
        <v>256</v>
      </c>
    </row>
    <row r="4" ht="22.5" customHeight="1">
      <c r="A4" s="13" t="s">
        <v>13</v>
      </c>
      <c r="B4" s="13"/>
      <c r="C4" s="13"/>
      <c r="D4" s="13"/>
      <c r="E4" s="14">
        <v>14448.91</v>
      </c>
      <c r="F4" s="13"/>
      <c r="G4" s="13"/>
      <c r="H4" s="13"/>
      <c r="I4" s="13"/>
      <c r="J4" s="13"/>
      <c r="K4" s="13"/>
    </row>
    <row r="5" ht="22.5" customHeight="1">
      <c r="A5" s="13" t="s">
        <v>41</v>
      </c>
      <c r="B5" s="13"/>
      <c r="C5" s="13"/>
      <c r="D5" s="13"/>
      <c r="E5" s="13"/>
      <c r="F5" s="14">
        <v>12710.768</v>
      </c>
      <c r="G5" s="13"/>
      <c r="H5" s="13"/>
      <c r="I5" s="13"/>
      <c r="J5" s="13"/>
      <c r="K5" s="13"/>
    </row>
    <row r="6" ht="22.5" customHeight="1">
      <c r="A6" s="13" t="s">
        <v>69</v>
      </c>
      <c r="B6" s="13"/>
      <c r="C6" s="13"/>
      <c r="D6" s="13"/>
      <c r="E6" s="13"/>
      <c r="F6" s="13"/>
      <c r="G6" s="14">
        <v>8490.7</v>
      </c>
      <c r="H6" s="13"/>
      <c r="I6" s="13"/>
      <c r="J6" s="13"/>
      <c r="K6" s="13"/>
    </row>
    <row r="7" ht="22.5" customHeight="1">
      <c r="A7" s="13" t="s">
        <v>121</v>
      </c>
      <c r="B7" s="14">
        <v>6970.0</v>
      </c>
      <c r="C7" s="13"/>
      <c r="D7" s="13"/>
      <c r="E7" s="13"/>
      <c r="F7" s="13"/>
      <c r="G7" s="13"/>
      <c r="H7" s="13"/>
      <c r="I7" s="13"/>
      <c r="J7" s="13"/>
      <c r="K7" s="13"/>
    </row>
    <row r="8" ht="22.5" customHeight="1">
      <c r="A8" s="13" t="s">
        <v>92</v>
      </c>
      <c r="B8" s="13"/>
      <c r="C8" s="13"/>
      <c r="D8" s="13"/>
      <c r="E8" s="13"/>
      <c r="F8" s="13"/>
      <c r="G8" s="13"/>
      <c r="H8" s="13"/>
      <c r="I8" s="14">
        <v>8225.82</v>
      </c>
      <c r="J8" s="13"/>
      <c r="K8" s="13"/>
    </row>
    <row r="9" ht="22.5" customHeight="1">
      <c r="A9" s="13" t="s">
        <v>37</v>
      </c>
      <c r="B9" s="13"/>
      <c r="C9" s="13"/>
      <c r="D9" s="14">
        <v>16139.46</v>
      </c>
      <c r="E9" s="13"/>
      <c r="F9" s="13"/>
      <c r="G9" s="13"/>
      <c r="H9" s="13"/>
      <c r="I9" s="13"/>
      <c r="J9" s="13"/>
      <c r="K9" s="13"/>
    </row>
    <row r="10" ht="22.5" customHeight="1">
      <c r="A10" s="13" t="s">
        <v>138</v>
      </c>
      <c r="B10" s="13"/>
      <c r="C10" s="13"/>
      <c r="D10" s="13"/>
      <c r="E10" s="13"/>
      <c r="F10" s="13"/>
      <c r="G10" s="13"/>
      <c r="H10" s="14">
        <v>8247.18</v>
      </c>
      <c r="I10" s="13"/>
      <c r="J10" s="13"/>
      <c r="K10" s="13"/>
    </row>
    <row r="11" ht="22.5" customHeight="1">
      <c r="A11" s="13" t="s">
        <v>95</v>
      </c>
      <c r="B11" s="13"/>
      <c r="C11" s="13"/>
      <c r="D11" s="13"/>
      <c r="E11" s="13"/>
      <c r="F11" s="13"/>
      <c r="G11" s="13"/>
      <c r="H11" s="13"/>
      <c r="I11" s="13"/>
      <c r="J11" s="13"/>
      <c r="K11" s="14">
        <v>7692.53999999999</v>
      </c>
    </row>
    <row r="12" ht="22.5" customHeight="1">
      <c r="A12" s="13" t="s">
        <v>72</v>
      </c>
      <c r="B12" s="13"/>
      <c r="C12" s="14">
        <v>27197.86</v>
      </c>
      <c r="D12" s="13"/>
      <c r="E12" s="13"/>
      <c r="F12" s="13"/>
      <c r="G12" s="13"/>
      <c r="H12" s="13"/>
      <c r="I12" s="13"/>
      <c r="J12" s="13"/>
      <c r="K12" s="13"/>
    </row>
    <row r="13" ht="22.5" customHeight="1">
      <c r="A13" s="13" t="s">
        <v>60</v>
      </c>
      <c r="B13" s="13"/>
      <c r="C13" s="13"/>
      <c r="D13" s="13"/>
      <c r="E13" s="13"/>
      <c r="F13" s="13"/>
      <c r="G13" s="13"/>
      <c r="H13" s="13"/>
      <c r="I13" s="13"/>
      <c r="J13" s="14">
        <v>7976.62</v>
      </c>
      <c r="K13" s="13"/>
    </row>
  </sheetData>
  <dataValidations>
    <dataValidation type="custom" allowBlank="1" showDropDown="1" sqref="B4:K13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</cols>
  <sheetData>
    <row r="1" ht="225.0" customHeight="1"/>
    <row r="3" ht="22.5" customHeight="1">
      <c r="A3" s="11" t="s">
        <v>3</v>
      </c>
      <c r="B3" s="11" t="s">
        <v>10</v>
      </c>
    </row>
    <row r="4" ht="22.5" customHeight="1">
      <c r="A4" s="17">
        <v>45967.0</v>
      </c>
      <c r="B4" s="14">
        <v>2200.8</v>
      </c>
    </row>
    <row r="5" ht="22.5" customHeight="1">
      <c r="A5" s="17">
        <v>45960.0</v>
      </c>
      <c r="B5" s="14">
        <v>10969.42</v>
      </c>
    </row>
    <row r="6" ht="22.5" customHeight="1">
      <c r="A6" s="17">
        <v>45953.0</v>
      </c>
      <c r="B6" s="14">
        <v>1200.58</v>
      </c>
    </row>
    <row r="7" ht="22.5" customHeight="1">
      <c r="A7" s="17">
        <v>45950.0</v>
      </c>
      <c r="B7" s="14">
        <v>1105.02</v>
      </c>
    </row>
    <row r="8" ht="22.5" customHeight="1">
      <c r="A8" s="17">
        <v>45941.0</v>
      </c>
      <c r="B8" s="14">
        <v>7702.98</v>
      </c>
    </row>
    <row r="9" ht="22.5" customHeight="1">
      <c r="A9" s="17">
        <v>45936.0</v>
      </c>
      <c r="B9" s="14">
        <v>730.68</v>
      </c>
    </row>
    <row r="10" ht="22.5" customHeight="1">
      <c r="A10" s="17">
        <v>45933.0</v>
      </c>
      <c r="B10" s="14">
        <v>7416.3</v>
      </c>
    </row>
    <row r="11" ht="22.5" customHeight="1">
      <c r="A11" s="17">
        <v>45903.0</v>
      </c>
      <c r="B11" s="14">
        <v>5212.02</v>
      </c>
    </row>
    <row r="12" ht="22.5" customHeight="1">
      <c r="A12" s="17">
        <v>45878.0</v>
      </c>
      <c r="B12" s="14">
        <v>1062.12</v>
      </c>
    </row>
    <row r="13" ht="22.5" customHeight="1">
      <c r="A13" s="17">
        <v>45876.0</v>
      </c>
      <c r="B13" s="14">
        <v>593.93</v>
      </c>
    </row>
    <row r="14" ht="22.5" customHeight="1">
      <c r="A14" s="17">
        <v>45872.0</v>
      </c>
      <c r="B14" s="14">
        <v>4306.8</v>
      </c>
    </row>
    <row r="15" ht="22.5" customHeight="1">
      <c r="A15" s="17">
        <v>45866.0</v>
      </c>
      <c r="B15" s="14">
        <v>978.96</v>
      </c>
    </row>
    <row r="16" ht="22.5" customHeight="1">
      <c r="A16" s="17">
        <v>45865.0</v>
      </c>
      <c r="B16" s="14">
        <v>1988.04</v>
      </c>
    </row>
    <row r="17" ht="22.5" customHeight="1">
      <c r="A17" s="17">
        <v>45862.0</v>
      </c>
      <c r="B17" s="14">
        <v>823.62</v>
      </c>
    </row>
    <row r="18" ht="22.5" customHeight="1">
      <c r="A18" s="17">
        <v>45860.0</v>
      </c>
      <c r="B18" s="14">
        <v>5305.2</v>
      </c>
    </row>
    <row r="19" ht="22.5" customHeight="1">
      <c r="A19" s="17">
        <v>45854.0</v>
      </c>
      <c r="B19" s="14">
        <v>2231.2</v>
      </c>
    </row>
    <row r="20" ht="22.5" customHeight="1">
      <c r="A20" s="17">
        <v>45847.0</v>
      </c>
      <c r="B20" s="14">
        <v>5643.36</v>
      </c>
    </row>
    <row r="21" ht="22.5" customHeight="1">
      <c r="A21" s="17">
        <v>45843.0</v>
      </c>
      <c r="B21" s="14">
        <v>1230.0</v>
      </c>
    </row>
    <row r="22" ht="22.5" customHeight="1">
      <c r="A22" s="17">
        <v>45841.0</v>
      </c>
      <c r="B22" s="14">
        <v>2277.52</v>
      </c>
    </row>
    <row r="23" ht="22.5" customHeight="1">
      <c r="A23" s="17">
        <v>45839.0</v>
      </c>
      <c r="B23" s="14">
        <v>1280.048</v>
      </c>
    </row>
    <row r="24" ht="22.5" customHeight="1">
      <c r="A24" s="17">
        <v>45837.0</v>
      </c>
      <c r="B24" s="14">
        <v>1840.74</v>
      </c>
    </row>
    <row r="25" ht="22.5" customHeight="1">
      <c r="A25" s="17">
        <v>45820.0</v>
      </c>
      <c r="B25" s="14">
        <v>1393.42</v>
      </c>
    </row>
    <row r="26" ht="22.5" customHeight="1">
      <c r="A26" s="17">
        <v>45819.0</v>
      </c>
      <c r="B26" s="14">
        <v>6166.3</v>
      </c>
    </row>
    <row r="27" ht="22.5" customHeight="1">
      <c r="A27" s="17">
        <v>45814.0</v>
      </c>
      <c r="B27" s="14">
        <v>522.02</v>
      </c>
    </row>
    <row r="28" ht="22.5" customHeight="1">
      <c r="A28" s="17">
        <v>45808.0</v>
      </c>
      <c r="B28" s="14">
        <v>2478.2</v>
      </c>
    </row>
    <row r="29" ht="22.5" customHeight="1">
      <c r="A29" s="17">
        <v>45793.0</v>
      </c>
      <c r="B29" s="14">
        <v>2227.72</v>
      </c>
    </row>
    <row r="30" ht="22.5" customHeight="1">
      <c r="A30" s="17">
        <v>45780.0</v>
      </c>
      <c r="B30" s="14">
        <v>1683.4</v>
      </c>
    </row>
    <row r="31" ht="22.5" customHeight="1">
      <c r="A31" s="17">
        <v>45778.0</v>
      </c>
      <c r="B31" s="14">
        <v>4769.2</v>
      </c>
    </row>
    <row r="32" ht="22.5" customHeight="1">
      <c r="A32" s="17">
        <v>45752.0</v>
      </c>
      <c r="B32" s="14">
        <v>1867.16</v>
      </c>
    </row>
    <row r="33" ht="22.5" customHeight="1">
      <c r="A33" s="17">
        <v>45749.0</v>
      </c>
      <c r="B33" s="14">
        <v>533.4</v>
      </c>
    </row>
    <row r="34" ht="22.5" customHeight="1">
      <c r="A34" s="17">
        <v>45742.0</v>
      </c>
      <c r="B34" s="14">
        <v>1673.52</v>
      </c>
    </row>
    <row r="35" ht="22.5" customHeight="1">
      <c r="A35" s="17">
        <v>45735.0</v>
      </c>
      <c r="B35" s="14">
        <v>2339.2</v>
      </c>
    </row>
    <row r="36" ht="22.5" customHeight="1">
      <c r="A36" s="17">
        <v>45718.0</v>
      </c>
      <c r="B36" s="14">
        <v>6017.04</v>
      </c>
    </row>
    <row r="37" ht="22.5" customHeight="1">
      <c r="A37" s="17">
        <v>45712.0</v>
      </c>
      <c r="B37" s="14">
        <v>378.624</v>
      </c>
    </row>
    <row r="38" ht="22.5" customHeight="1">
      <c r="A38" s="17">
        <v>45703.0</v>
      </c>
      <c r="B38" s="14">
        <v>809.52</v>
      </c>
    </row>
    <row r="39" ht="22.5" customHeight="1">
      <c r="A39" s="17">
        <v>45697.0</v>
      </c>
      <c r="B39" s="14">
        <v>6125.52</v>
      </c>
    </row>
    <row r="40" ht="22.5" customHeight="1">
      <c r="A40" s="17">
        <v>45690.0</v>
      </c>
      <c r="B40" s="14">
        <v>978.63</v>
      </c>
    </row>
    <row r="41" ht="22.5" customHeight="1">
      <c r="A41" s="17">
        <v>45684.0</v>
      </c>
      <c r="B41" s="14">
        <v>8490.7</v>
      </c>
    </row>
    <row r="42" ht="22.5" customHeight="1">
      <c r="A42" s="17">
        <v>45679.0</v>
      </c>
      <c r="B42" s="14">
        <v>3722.8</v>
      </c>
    </row>
    <row r="43" ht="22.5" customHeight="1">
      <c r="A43" s="17">
        <v>45649.0</v>
      </c>
      <c r="B43" s="14">
        <v>1393.1</v>
      </c>
    </row>
    <row r="44" ht="22.5" customHeight="1">
      <c r="A44" s="17">
        <v>45645.0</v>
      </c>
      <c r="B44" s="14">
        <v>3505.52</v>
      </c>
    </row>
    <row r="45" ht="22.5" customHeight="1">
      <c r="A45" s="17">
        <v>45641.0</v>
      </c>
      <c r="B45" s="14">
        <v>1674.56</v>
      </c>
    </row>
    <row r="46" ht="22.5" customHeight="1">
      <c r="A46" s="17">
        <v>45632.0</v>
      </c>
      <c r="B46" s="14">
        <v>4132.08</v>
      </c>
    </row>
    <row r="47" ht="22.5" customHeight="1">
      <c r="A47" s="17">
        <v>45631.0</v>
      </c>
      <c r="B47" s="14">
        <v>3432.4</v>
      </c>
    </row>
    <row r="48" ht="22.5" customHeight="1">
      <c r="A48" s="17">
        <v>45618.0</v>
      </c>
      <c r="B48" s="14">
        <v>228.0</v>
      </c>
    </row>
    <row r="49" ht="22.5" customHeight="1">
      <c r="A49" s="17">
        <v>45615.0</v>
      </c>
      <c r="B49" s="14">
        <v>5040.5</v>
      </c>
    </row>
    <row r="50" ht="22.5" customHeight="1">
      <c r="A50" s="17">
        <v>45606.0</v>
      </c>
      <c r="B50" s="14">
        <v>5392.14</v>
      </c>
    </row>
    <row r="51" ht="22.5" customHeight="1">
      <c r="A51" s="17">
        <v>45604.0</v>
      </c>
      <c r="B51" s="14">
        <v>1772.52</v>
      </c>
    </row>
    <row r="52" ht="22.5" customHeight="1">
      <c r="A52" s="17">
        <v>44931.0</v>
      </c>
      <c r="B52" s="14">
        <v>3064.08</v>
      </c>
    </row>
  </sheetData>
  <dataValidations>
    <dataValidation type="custom" allowBlank="1" showDropDown="1" sqref="A4:A52">
      <formula1>OR(NOT(ISERROR(DATEVALUE(A4))), AND(ISNUMBER(A4), LEFT(CELL("format", A4))="D"))</formula1>
    </dataValidation>
    <dataValidation type="custom" allowBlank="1" showDropDown="1" sqref="B4:B5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